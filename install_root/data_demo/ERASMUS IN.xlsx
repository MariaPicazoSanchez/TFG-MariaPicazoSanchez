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aria\Documents\GitHub\TFG-MariaPicazoSanchez\install_root\data_demo\"/>
    </mc:Choice>
  </mc:AlternateContent>
  <xr:revisionPtr revIDLastSave="0" documentId="13_ncr:1_{AE0ABEB0-377E-43B9-8B37-50C453A4DAC1}" xr6:coauthVersionLast="47" xr6:coauthVersionMax="47" xr10:uidLastSave="{00000000-0000-0000-0000-000000000000}"/>
  <bookViews>
    <workbookView xWindow="2928" yWindow="2928" windowWidth="17280" windowHeight="8880" activeTab="1" xr2:uid="{00000000-000D-0000-FFFF-FFFF00000000}"/>
  </bookViews>
  <sheets>
    <sheet name="Coordenadas" sheetId="1" r:id="rId1"/>
    <sheet name="2025-2026" sheetId="2" r:id="rId2"/>
    <sheet name="2024-2025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" l="1"/>
  <c r="J3" i="2"/>
  <c r="J4" i="2"/>
  <c r="J5" i="2"/>
  <c r="J6" i="2"/>
  <c r="J7" i="2"/>
  <c r="J8" i="2"/>
  <c r="J9" i="2"/>
  <c r="J10" i="2"/>
  <c r="J11" i="2"/>
  <c r="J76" i="2"/>
  <c r="J77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35" i="2"/>
  <c r="J36" i="2"/>
  <c r="J37" i="2"/>
  <c r="J38" i="2"/>
  <c r="J39" i="2"/>
  <c r="J40" i="2"/>
  <c r="J41" i="2"/>
  <c r="J42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13" i="2"/>
  <c r="J14" i="2"/>
  <c r="J15" i="2"/>
  <c r="J16" i="2"/>
  <c r="J17" i="2"/>
  <c r="J18" i="2"/>
  <c r="J19" i="2"/>
  <c r="J20" i="2"/>
  <c r="J21" i="2"/>
  <c r="J12" i="2"/>
</calcChain>
</file>

<file path=xl/sharedStrings.xml><?xml version="1.0" encoding="utf-8"?>
<sst xmlns="http://schemas.openxmlformats.org/spreadsheetml/2006/main" count="265" uniqueCount="155">
  <si>
    <t>Asignatura</t>
  </si>
  <si>
    <t>Estudiante</t>
  </si>
  <si>
    <t>Origen</t>
  </si>
  <si>
    <t>Universidad Origen</t>
  </si>
  <si>
    <t>Cuat</t>
  </si>
  <si>
    <t>Firmado</t>
  </si>
  <si>
    <t>LA</t>
  </si>
  <si>
    <t>Asignaturas</t>
  </si>
  <si>
    <t>Matriculados</t>
  </si>
  <si>
    <t>Cuatrimestre</t>
  </si>
  <si>
    <t>Cupo</t>
  </si>
  <si>
    <t>Calidad de los Sistemas SW</t>
  </si>
  <si>
    <t>Prueba 1 Alu</t>
  </si>
  <si>
    <t>Italia</t>
  </si>
  <si>
    <t>Pol. Milan</t>
  </si>
  <si>
    <t>1</t>
  </si>
  <si>
    <t>Diseño de Sistemas Interactivos</t>
  </si>
  <si>
    <t>Jordania</t>
  </si>
  <si>
    <t>HTU</t>
  </si>
  <si>
    <t>31.9800,35.8540</t>
  </si>
  <si>
    <t>Alemania</t>
  </si>
  <si>
    <t>Bonn-Rhein-Sieg</t>
  </si>
  <si>
    <t>50.78108, 7.18062</t>
  </si>
  <si>
    <t>Chile</t>
  </si>
  <si>
    <t>UMAG</t>
  </si>
  <si>
    <t>-53.1441,-70.9306</t>
  </si>
  <si>
    <t>Duoc UC - Plaza Norte</t>
  </si>
  <si>
    <t>-33.3661, -70.6787</t>
  </si>
  <si>
    <t>Colombia</t>
  </si>
  <si>
    <t>Universidad Libre</t>
  </si>
  <si>
    <t>4.6127,-74.0705</t>
  </si>
  <si>
    <t>Francia</t>
  </si>
  <si>
    <t>ESAIP</t>
  </si>
  <si>
    <t>47.4700,-0.5040</t>
  </si>
  <si>
    <t>Georgia</t>
  </si>
  <si>
    <t>Business and Technology University</t>
  </si>
  <si>
    <t>41.7150,44.7800</t>
  </si>
  <si>
    <t>Unimore</t>
  </si>
  <si>
    <t>44.6450,10.9250</t>
  </si>
  <si>
    <t>Udine</t>
  </si>
  <si>
    <t>46.0635,13.2372</t>
  </si>
  <si>
    <t>45.4781,9.2284</t>
  </si>
  <si>
    <t>Degli Studi di Sassari</t>
  </si>
  <si>
    <t>40.7242,8.5600</t>
  </si>
  <si>
    <t>University of Petra</t>
  </si>
  <si>
    <t>31.7326,35.8299</t>
  </si>
  <si>
    <t>Yarmouk University</t>
  </si>
  <si>
    <t>32.4833,36.0000</t>
  </si>
  <si>
    <t>Amman Arab University</t>
  </si>
  <si>
    <t>32.0072,35.9068</t>
  </si>
  <si>
    <t>Letonia</t>
  </si>
  <si>
    <t>Faculty of Eng. and IT</t>
  </si>
  <si>
    <t>56.6510,23.7210</t>
  </si>
  <si>
    <t>Life Sciences and Tech</t>
  </si>
  <si>
    <t>México</t>
  </si>
  <si>
    <t>TEC</t>
  </si>
  <si>
    <t>25.6541,-100.2766</t>
  </si>
  <si>
    <t>Chiapas</t>
  </si>
  <si>
    <t>16.7516,-93.1160</t>
  </si>
  <si>
    <t>UA Zacatecas</t>
  </si>
  <si>
    <t>22.7709,-102.5832</t>
  </si>
  <si>
    <t>Nuevo León</t>
  </si>
  <si>
    <t>25.7246,-100.3114</t>
  </si>
  <si>
    <t>Turquía</t>
  </si>
  <si>
    <t>Faculty of Engineering</t>
  </si>
  <si>
    <t>41.0254,28.9470</t>
  </si>
  <si>
    <t>Kadir Has University</t>
  </si>
  <si>
    <t>Diseño Gráfico y Animación</t>
  </si>
  <si>
    <t>Youseff Prueba</t>
  </si>
  <si>
    <t>x</t>
  </si>
  <si>
    <t xml:space="preserve">(MUII) Gestión de Auditoría y Seguridad </t>
  </si>
  <si>
    <t>Dispositivos y Redes Inalámbricos</t>
  </si>
  <si>
    <t>(MUII) Sistemas y Servicios en la Nube</t>
  </si>
  <si>
    <t>Bases de Datos - I</t>
  </si>
  <si>
    <t>Andrea Prueba</t>
  </si>
  <si>
    <t>2</t>
  </si>
  <si>
    <t>un_enlace.pdf</t>
  </si>
  <si>
    <t>Aceleradores Gráficos</t>
  </si>
  <si>
    <t>Estructura de Computadores - A</t>
  </si>
  <si>
    <t>Álgebra</t>
  </si>
  <si>
    <t>Fundamentos de Programación II - A</t>
  </si>
  <si>
    <t>Álgebra y Matemática Discreta - A</t>
  </si>
  <si>
    <t>Comercio Electrónico</t>
  </si>
  <si>
    <t>Berto Prueba</t>
  </si>
  <si>
    <t>Álgebra y Matemática Discreta - I</t>
  </si>
  <si>
    <t>Fundamentos Físicos - B</t>
  </si>
  <si>
    <t>Arquitectura de Computadores - I</t>
  </si>
  <si>
    <t>Fran Prueba</t>
  </si>
  <si>
    <t>Auditoría Sistemas Información</t>
  </si>
  <si>
    <t>Martha Prueba</t>
  </si>
  <si>
    <t>Bases de Datos - A</t>
  </si>
  <si>
    <t>Lucia Prueba</t>
  </si>
  <si>
    <t>Cálculo y Métodos Numéricos - I</t>
  </si>
  <si>
    <t>William Prueba</t>
  </si>
  <si>
    <t>Lola Prueba</t>
  </si>
  <si>
    <t>Petra.pdf</t>
  </si>
  <si>
    <t>Diseño de Software</t>
  </si>
  <si>
    <t>Petra2.pdf</t>
  </si>
  <si>
    <t>Criptografía</t>
  </si>
  <si>
    <t>fgbvertb</t>
  </si>
  <si>
    <t>Fundamentos Físicos - I</t>
  </si>
  <si>
    <t>Estadística - I</t>
  </si>
  <si>
    <t>Estructura de Computadores - I</t>
  </si>
  <si>
    <t>Estructura de Datos - A</t>
  </si>
  <si>
    <t>Estructura de Datos - I</t>
  </si>
  <si>
    <t>Fundamentos de Gestión Empresarial - A</t>
  </si>
  <si>
    <t>Fundamentos de Gestión Empresarial - B</t>
  </si>
  <si>
    <t>Fundamentos de Gestión Empresarial - C</t>
  </si>
  <si>
    <t>Fundamentos de Gestión Empresarial - I</t>
  </si>
  <si>
    <t>Fundamentos de Programación I - A</t>
  </si>
  <si>
    <t>Fundamentos de Programación I - I</t>
  </si>
  <si>
    <t>Fundamentos de Programación II - I</t>
  </si>
  <si>
    <t>Gestión de proyectos software</t>
  </si>
  <si>
    <t>Gestión de Sistemas de información</t>
  </si>
  <si>
    <t>Ingeniería del Software I - I</t>
  </si>
  <si>
    <t>Ingeniería del Software II - I</t>
  </si>
  <si>
    <t>Ingeniería Web y de Servicios</t>
  </si>
  <si>
    <t>Inteligencia Artificial en Videojuegos</t>
  </si>
  <si>
    <t>Interacción Persona Ordenador I - A</t>
  </si>
  <si>
    <t>Interacción Persona Ordenador I - B</t>
  </si>
  <si>
    <t>Interacción Persona Ordenador I - I</t>
  </si>
  <si>
    <t>Lógica - B</t>
  </si>
  <si>
    <t>Lógica - I</t>
  </si>
  <si>
    <t>Metodología de la Programación - A</t>
  </si>
  <si>
    <t>Metodología de la Programación - I</t>
  </si>
  <si>
    <t>Minería de datos</t>
  </si>
  <si>
    <t>Multimedia</t>
  </si>
  <si>
    <t>Organización de Computadores - I</t>
  </si>
  <si>
    <t>Planificación e Integración de Sistemas</t>
  </si>
  <si>
    <t>Procesadores de Lenguajes</t>
  </si>
  <si>
    <t>Procesos de Ingeniería del SW</t>
  </si>
  <si>
    <t>Programación Concurrente y Tiempo Real</t>
  </si>
  <si>
    <t>Programación Declarativa</t>
  </si>
  <si>
    <t>Redes de Computadores I - A</t>
  </si>
  <si>
    <t>Redes de Computadores I - I</t>
  </si>
  <si>
    <t>Robótica Autónoma</t>
  </si>
  <si>
    <t>Seguridad de Sistemas Software</t>
  </si>
  <si>
    <t>Seguridad en redes</t>
  </si>
  <si>
    <t>Seguridad en Sistemas Informáticos</t>
  </si>
  <si>
    <t>Sistemas  Distribuidos -  B</t>
  </si>
  <si>
    <t>Sistemas  Distribuidos - A</t>
  </si>
  <si>
    <t>Sistemas Basados en el Conocimiento</t>
  </si>
  <si>
    <t>Sistemas de Información - A</t>
  </si>
  <si>
    <t>Sistemas de Información - I</t>
  </si>
  <si>
    <t>Sistemas Empotrados</t>
  </si>
  <si>
    <t>Sistemas Inteligentes - A</t>
  </si>
  <si>
    <t>Sistemas Inteligentes - I</t>
  </si>
  <si>
    <t>Sistemas Multiagentes</t>
  </si>
  <si>
    <t>Sistemas Operativos I - A</t>
  </si>
  <si>
    <t>Sistemas Operativos II</t>
  </si>
  <si>
    <t>Tecnología de Computadores - B</t>
  </si>
  <si>
    <t>Tecnologías y sistemas web</t>
  </si>
  <si>
    <t>Teoría de Autómatas y Computación</t>
  </si>
  <si>
    <t>Videojuegos y Realidad Virtual</t>
  </si>
  <si>
    <t>Visión artificial y reconocimiento de patrones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</si>
</sst>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1"/>
      <name val="Georgia"/>
      <family val="1"/>
    </font>
    <font>
      <b/>
      <sz val="11"/>
      <name val="Calibri"/>
    </font>
    <font>
      <b/>
      <sz val="11"/>
      <name val="Calibri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</fills>
  <borders count="9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0" fillId="2" borderId="0" xfId="0" applyFill="1"/>
    <xf numFmtId="0" fontId="0" fillId="3" borderId="0" xfId="0" applyFill="1"/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3" fillId="0" borderId="2" xfId="0" applyFont="1" applyBorder="1"/>
    <xf numFmtId="0" fontId="2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top"/>
    </xf>
    <xf numFmtId="0" fontId="4" fillId="0" borderId="5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ill>
        <patternFill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24" displayName="Tabla24" ref="I1:L77" totalsRowShown="0" headerRowDxfId="4">
  <autoFilter ref="I1:L77" xr:uid="{00000000-0009-0000-0100-000001000000}"/>
  <sortState xmlns:xlrd2="http://schemas.microsoft.com/office/spreadsheetml/2017/richdata2" ref="I2:L77">
    <sortCondition ref="I1:I77"/>
  </sortState>
  <tableColumns count="4">
    <tableColumn id="1" xr3:uid="{00000000-0010-0000-0000-000001000000}" name="Asignaturas" dataDxfId="3"/>
    <tableColumn id="2" xr3:uid="{00000000-0010-0000-0000-000002000000}" name="Matriculados" dataDxfId="2">
      <calculatedColumnFormula>COUNTIF($I$2:$I$77, I2)</calculatedColumnFormula>
    </tableColumn>
    <tableColumn id="3" xr3:uid="{00000000-0010-0000-0000-000003000000}" name="Cuatrimestre"/>
    <tableColumn id="4" xr3:uid="{00000000-0010-0000-0000-000004000000}" name="Cu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topLeftCell="A7" workbookViewId="0">
      <selection activeCell="A10" sqref="A10:B10"/>
    </sheetView>
  </sheetViews>
  <sheetFormatPr baseColWidth="10" defaultColWidth="11.44140625" defaultRowHeight="14.4" x14ac:dyDescent="0.3"/>
  <cols>
    <col min="2" max="2" width="33.44140625" customWidth="1"/>
    <col min="3" max="3" width="29.6640625" customWidth="1"/>
  </cols>
  <sheetData>
    <row r="1" spans="1:3" ht="15" customHeight="1" thickBot="1" x14ac:dyDescent="0.35">
      <c r="A1" s="5" t="s">
        <v>17</v>
      </c>
      <c r="B1" s="5" t="s">
        <v>18</v>
      </c>
      <c r="C1" s="5" t="s">
        <v>19</v>
      </c>
    </row>
    <row r="2" spans="1:3" ht="16.2" customHeight="1" thickBot="1" x14ac:dyDescent="0.35">
      <c r="A2" s="5" t="s">
        <v>20</v>
      </c>
      <c r="B2" s="7" t="s">
        <v>21</v>
      </c>
      <c r="C2" s="5" t="s">
        <v>22</v>
      </c>
    </row>
    <row r="3" spans="1:3" ht="15" customHeight="1" thickBot="1" x14ac:dyDescent="0.35">
      <c r="A3" s="5" t="s">
        <v>23</v>
      </c>
      <c r="B3" s="5" t="s">
        <v>24</v>
      </c>
      <c r="C3" s="5" t="s">
        <v>25</v>
      </c>
    </row>
    <row r="4" spans="1:3" ht="15" customHeight="1" thickBot="1" x14ac:dyDescent="0.35">
      <c r="A4" s="5" t="s">
        <v>23</v>
      </c>
      <c r="B4" s="5" t="s">
        <v>26</v>
      </c>
      <c r="C4" s="5" t="s">
        <v>27</v>
      </c>
    </row>
    <row r="5" spans="1:3" ht="15" customHeight="1" thickBot="1" x14ac:dyDescent="0.35">
      <c r="A5" s="5" t="s">
        <v>28</v>
      </c>
      <c r="B5" s="5" t="s">
        <v>29</v>
      </c>
      <c r="C5" s="5" t="s">
        <v>30</v>
      </c>
    </row>
    <row r="6" spans="1:3" ht="15" customHeight="1" thickBot="1" x14ac:dyDescent="0.35">
      <c r="A6" s="5" t="s">
        <v>31</v>
      </c>
      <c r="B6" s="5" t="s">
        <v>32</v>
      </c>
      <c r="C6" s="5" t="s">
        <v>33</v>
      </c>
    </row>
    <row r="7" spans="1:3" ht="28.2" customHeight="1" thickBot="1" x14ac:dyDescent="0.35">
      <c r="A7" s="5" t="s">
        <v>34</v>
      </c>
      <c r="B7" s="5" t="s">
        <v>35</v>
      </c>
      <c r="C7" s="5" t="s">
        <v>36</v>
      </c>
    </row>
    <row r="8" spans="1:3" ht="15" customHeight="1" thickBot="1" x14ac:dyDescent="0.35">
      <c r="A8" s="5" t="s">
        <v>13</v>
      </c>
      <c r="B8" s="5" t="s">
        <v>37</v>
      </c>
      <c r="C8" s="5" t="s">
        <v>38</v>
      </c>
    </row>
    <row r="9" spans="1:3" ht="15" customHeight="1" thickBot="1" x14ac:dyDescent="0.35">
      <c r="A9" s="5" t="s">
        <v>13</v>
      </c>
      <c r="B9" s="5" t="s">
        <v>39</v>
      </c>
      <c r="C9" s="5" t="s">
        <v>40</v>
      </c>
    </row>
    <row r="10" spans="1:3" ht="15" customHeight="1" thickBot="1" x14ac:dyDescent="0.35">
      <c r="A10" s="5" t="s">
        <v>13</v>
      </c>
      <c r="B10" s="5" t="s">
        <v>14</v>
      </c>
      <c r="C10" s="5" t="s">
        <v>41</v>
      </c>
    </row>
    <row r="11" spans="1:3" ht="15" customHeight="1" thickBot="1" x14ac:dyDescent="0.35">
      <c r="A11" s="5" t="s">
        <v>13</v>
      </c>
      <c r="B11" s="5" t="s">
        <v>42</v>
      </c>
      <c r="C11" s="5" t="s">
        <v>43</v>
      </c>
    </row>
    <row r="12" spans="1:3" ht="15" customHeight="1" thickBot="1" x14ac:dyDescent="0.35">
      <c r="A12" s="5" t="s">
        <v>17</v>
      </c>
      <c r="B12" s="5" t="s">
        <v>44</v>
      </c>
      <c r="C12" s="5" t="s">
        <v>45</v>
      </c>
    </row>
    <row r="13" spans="1:3" ht="15" customHeight="1" thickBot="1" x14ac:dyDescent="0.35">
      <c r="A13" s="5" t="s">
        <v>17</v>
      </c>
      <c r="B13" s="5" t="s">
        <v>46</v>
      </c>
      <c r="C13" s="5" t="s">
        <v>47</v>
      </c>
    </row>
    <row r="14" spans="1:3" ht="15" customHeight="1" thickBot="1" x14ac:dyDescent="0.35">
      <c r="A14" s="5" t="s">
        <v>17</v>
      </c>
      <c r="B14" s="5" t="s">
        <v>48</v>
      </c>
      <c r="C14" s="5" t="s">
        <v>49</v>
      </c>
    </row>
    <row r="15" spans="1:3" ht="15" customHeight="1" thickBot="1" x14ac:dyDescent="0.35">
      <c r="A15" s="5" t="s">
        <v>50</v>
      </c>
      <c r="B15" s="5" t="s">
        <v>51</v>
      </c>
      <c r="C15" s="5" t="s">
        <v>52</v>
      </c>
    </row>
    <row r="16" spans="1:3" ht="15" customHeight="1" thickBot="1" x14ac:dyDescent="0.35">
      <c r="A16" s="5" t="s">
        <v>50</v>
      </c>
      <c r="B16" s="5" t="s">
        <v>53</v>
      </c>
      <c r="C16" s="5" t="s">
        <v>52</v>
      </c>
    </row>
    <row r="17" spans="1:3" ht="15" customHeight="1" thickBot="1" x14ac:dyDescent="0.35">
      <c r="A17" s="5" t="s">
        <v>54</v>
      </c>
      <c r="B17" s="5" t="s">
        <v>55</v>
      </c>
      <c r="C17" s="5" t="s">
        <v>56</v>
      </c>
    </row>
    <row r="18" spans="1:3" ht="15" customHeight="1" thickBot="1" x14ac:dyDescent="0.35">
      <c r="A18" s="5" t="s">
        <v>54</v>
      </c>
      <c r="B18" s="5" t="s">
        <v>57</v>
      </c>
      <c r="C18" s="5" t="s">
        <v>58</v>
      </c>
    </row>
    <row r="19" spans="1:3" ht="15" customHeight="1" thickBot="1" x14ac:dyDescent="0.35">
      <c r="A19" s="5" t="s">
        <v>54</v>
      </c>
      <c r="B19" s="5" t="s">
        <v>59</v>
      </c>
      <c r="C19" s="5" t="s">
        <v>60</v>
      </c>
    </row>
    <row r="20" spans="1:3" ht="15" customHeight="1" thickBot="1" x14ac:dyDescent="0.35">
      <c r="A20" s="5" t="s">
        <v>54</v>
      </c>
      <c r="B20" s="5" t="s">
        <v>61</v>
      </c>
      <c r="C20" s="5" t="s">
        <v>62</v>
      </c>
    </row>
    <row r="21" spans="1:3" ht="15" customHeight="1" thickBot="1" x14ac:dyDescent="0.35">
      <c r="A21" s="5" t="s">
        <v>63</v>
      </c>
      <c r="B21" s="5" t="s">
        <v>64</v>
      </c>
      <c r="C21" s="5" t="s">
        <v>65</v>
      </c>
    </row>
    <row r="22" spans="1:3" x14ac:dyDescent="0.3">
      <c r="A22" s="6" t="s">
        <v>63</v>
      </c>
      <c r="B22" s="8" t="s">
        <v>66</v>
      </c>
      <c r="C22" s="6" t="s">
        <v>65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7"/>
  <sheetViews>
    <sheetView tabSelected="1" topLeftCell="A78" workbookViewId="0">
      <selection activeCell="J12" sqref="J2:J12"/>
    </sheetView>
  </sheetViews>
  <sheetFormatPr baseColWidth="10" defaultColWidth="8.88671875" defaultRowHeight="14.4" x14ac:dyDescent="0.3"/>
  <cols>
    <col min="1" max="1" width="30.77734375" bestFit="1" customWidth="1"/>
    <col min="9" max="9" width="38.33203125" bestFit="1" customWidth="1"/>
    <col min="10" max="10" width="16.44140625" bestFit="1" customWidth="1"/>
    <col min="11" max="11" width="16.21875" bestFit="1" customWidth="1"/>
  </cols>
  <sheetData>
    <row r="1" spans="1:12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11" t="s">
        <v>6</v>
      </c>
      <c r="H1" s="12"/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">
      <c r="A2" t="s">
        <v>67</v>
      </c>
      <c r="B2" t="s">
        <v>68</v>
      </c>
      <c r="C2" t="s">
        <v>17</v>
      </c>
      <c r="D2" t="s">
        <v>18</v>
      </c>
      <c r="E2">
        <v>2</v>
      </c>
      <c r="F2" t="s">
        <v>69</v>
      </c>
      <c r="I2" t="s">
        <v>70</v>
      </c>
      <c r="J2">
        <f t="shared" ref="J2:J11" si="0">COUNTIF(A:A, I2)</f>
        <v>0</v>
      </c>
      <c r="K2">
        <v>1</v>
      </c>
      <c r="L2">
        <v>5</v>
      </c>
    </row>
    <row r="3" spans="1:12" x14ac:dyDescent="0.3">
      <c r="A3" t="s">
        <v>71</v>
      </c>
      <c r="B3" t="s">
        <v>68</v>
      </c>
      <c r="C3" t="s">
        <v>17</v>
      </c>
      <c r="D3" t="s">
        <v>18</v>
      </c>
      <c r="E3">
        <v>2</v>
      </c>
      <c r="F3" t="s">
        <v>69</v>
      </c>
      <c r="I3" t="s">
        <v>72</v>
      </c>
      <c r="J3">
        <f t="shared" si="0"/>
        <v>0</v>
      </c>
      <c r="K3">
        <v>1</v>
      </c>
      <c r="L3">
        <v>5</v>
      </c>
    </row>
    <row r="4" spans="1:12" x14ac:dyDescent="0.3">
      <c r="A4" t="s">
        <v>73</v>
      </c>
      <c r="B4" t="s">
        <v>74</v>
      </c>
      <c r="C4" t="s">
        <v>13</v>
      </c>
      <c r="D4" t="s">
        <v>37</v>
      </c>
      <c r="E4" t="s">
        <v>75</v>
      </c>
      <c r="G4" t="s">
        <v>76</v>
      </c>
      <c r="I4" t="s">
        <v>77</v>
      </c>
      <c r="J4">
        <f t="shared" si="0"/>
        <v>0</v>
      </c>
      <c r="K4">
        <v>2</v>
      </c>
      <c r="L4">
        <v>5</v>
      </c>
    </row>
    <row r="5" spans="1:12" x14ac:dyDescent="0.3">
      <c r="A5" t="s">
        <v>78</v>
      </c>
      <c r="B5" t="s">
        <v>74</v>
      </c>
      <c r="C5" t="s">
        <v>13</v>
      </c>
      <c r="D5" t="s">
        <v>37</v>
      </c>
      <c r="E5" t="s">
        <v>75</v>
      </c>
      <c r="G5" t="s">
        <v>76</v>
      </c>
      <c r="I5" t="s">
        <v>79</v>
      </c>
      <c r="J5">
        <f t="shared" si="0"/>
        <v>0</v>
      </c>
      <c r="K5">
        <v>2</v>
      </c>
      <c r="L5">
        <v>5</v>
      </c>
    </row>
    <row r="6" spans="1:12" x14ac:dyDescent="0.3">
      <c r="A6" t="s">
        <v>80</v>
      </c>
      <c r="B6" t="s">
        <v>74</v>
      </c>
      <c r="C6" t="s">
        <v>13</v>
      </c>
      <c r="D6" t="s">
        <v>37</v>
      </c>
      <c r="E6" t="s">
        <v>75</v>
      </c>
      <c r="G6" t="s">
        <v>76</v>
      </c>
      <c r="I6" t="s">
        <v>81</v>
      </c>
      <c r="J6">
        <f t="shared" si="0"/>
        <v>0</v>
      </c>
      <c r="K6">
        <v>2</v>
      </c>
      <c r="L6">
        <v>5</v>
      </c>
    </row>
    <row r="7" spans="1:12" x14ac:dyDescent="0.3">
      <c r="A7" t="s">
        <v>82</v>
      </c>
      <c r="B7" t="s">
        <v>83</v>
      </c>
      <c r="C7" t="s">
        <v>13</v>
      </c>
      <c r="D7" t="s">
        <v>37</v>
      </c>
      <c r="I7" t="s">
        <v>84</v>
      </c>
      <c r="J7">
        <f t="shared" si="0"/>
        <v>0</v>
      </c>
      <c r="K7">
        <v>2</v>
      </c>
      <c r="L7">
        <v>5</v>
      </c>
    </row>
    <row r="8" spans="1:12" x14ac:dyDescent="0.3">
      <c r="A8" t="s">
        <v>85</v>
      </c>
      <c r="B8" t="s">
        <v>83</v>
      </c>
      <c r="C8" t="s">
        <v>13</v>
      </c>
      <c r="D8" t="s">
        <v>37</v>
      </c>
      <c r="I8" t="s">
        <v>86</v>
      </c>
      <c r="J8">
        <f t="shared" si="0"/>
        <v>0</v>
      </c>
      <c r="K8">
        <v>1</v>
      </c>
      <c r="L8">
        <v>5</v>
      </c>
    </row>
    <row r="9" spans="1:12" x14ac:dyDescent="0.3">
      <c r="A9" t="s">
        <v>85</v>
      </c>
      <c r="B9" t="s">
        <v>87</v>
      </c>
      <c r="C9" t="s">
        <v>17</v>
      </c>
      <c r="D9" t="s">
        <v>18</v>
      </c>
      <c r="I9" t="s">
        <v>88</v>
      </c>
      <c r="J9">
        <f t="shared" si="0"/>
        <v>0</v>
      </c>
      <c r="K9">
        <v>1</v>
      </c>
      <c r="L9">
        <v>5</v>
      </c>
    </row>
    <row r="10" spans="1:12" x14ac:dyDescent="0.3">
      <c r="A10" t="s">
        <v>85</v>
      </c>
      <c r="B10" t="s">
        <v>89</v>
      </c>
      <c r="C10" t="s">
        <v>20</v>
      </c>
      <c r="D10" t="s">
        <v>21</v>
      </c>
      <c r="F10" t="s">
        <v>69</v>
      </c>
      <c r="I10" t="s">
        <v>90</v>
      </c>
      <c r="J10">
        <f t="shared" si="0"/>
        <v>0</v>
      </c>
      <c r="K10">
        <v>2</v>
      </c>
      <c r="L10">
        <v>5</v>
      </c>
    </row>
    <row r="11" spans="1:12" x14ac:dyDescent="0.3">
      <c r="A11" t="s">
        <v>85</v>
      </c>
      <c r="B11" t="s">
        <v>91</v>
      </c>
      <c r="C11" t="s">
        <v>23</v>
      </c>
      <c r="D11" t="s">
        <v>24</v>
      </c>
      <c r="I11" t="s">
        <v>73</v>
      </c>
      <c r="J11">
        <f t="shared" si="0"/>
        <v>1</v>
      </c>
      <c r="K11">
        <v>2</v>
      </c>
      <c r="L11">
        <v>5</v>
      </c>
    </row>
    <row r="12" spans="1:12" x14ac:dyDescent="0.3">
      <c r="A12" t="s">
        <v>85</v>
      </c>
      <c r="B12" t="s">
        <v>91</v>
      </c>
      <c r="C12" t="s">
        <v>23</v>
      </c>
      <c r="D12" t="s">
        <v>26</v>
      </c>
      <c r="I12" t="s">
        <v>92</v>
      </c>
      <c r="J12">
        <f>COUNTIF(A:A, I12)</f>
        <v>1</v>
      </c>
      <c r="K12">
        <v>1</v>
      </c>
      <c r="L12">
        <v>5</v>
      </c>
    </row>
    <row r="13" spans="1:12" x14ac:dyDescent="0.3">
      <c r="A13" t="s">
        <v>85</v>
      </c>
      <c r="B13" t="s">
        <v>93</v>
      </c>
      <c r="C13" t="s">
        <v>28</v>
      </c>
      <c r="D13" t="s">
        <v>29</v>
      </c>
      <c r="I13" t="s">
        <v>11</v>
      </c>
      <c r="J13">
        <f t="shared" ref="J13:J76" si="1">COUNTIF(A:A, I13)</f>
        <v>1</v>
      </c>
      <c r="K13">
        <v>1</v>
      </c>
      <c r="L13">
        <v>5</v>
      </c>
    </row>
    <row r="14" spans="1:12" x14ac:dyDescent="0.3">
      <c r="A14" t="s">
        <v>11</v>
      </c>
      <c r="B14" t="s">
        <v>94</v>
      </c>
      <c r="C14" t="s">
        <v>31</v>
      </c>
      <c r="D14" t="s">
        <v>32</v>
      </c>
      <c r="E14">
        <v>2</v>
      </c>
      <c r="F14" t="s">
        <v>69</v>
      </c>
      <c r="G14" t="s">
        <v>95</v>
      </c>
      <c r="I14" t="s">
        <v>82</v>
      </c>
      <c r="J14">
        <f t="shared" si="1"/>
        <v>1</v>
      </c>
      <c r="K14">
        <v>1</v>
      </c>
      <c r="L14">
        <v>5</v>
      </c>
    </row>
    <row r="15" spans="1:12" x14ac:dyDescent="0.3">
      <c r="A15" t="s">
        <v>96</v>
      </c>
      <c r="B15" t="s">
        <v>94</v>
      </c>
      <c r="C15" t="s">
        <v>31</v>
      </c>
      <c r="D15" t="s">
        <v>32</v>
      </c>
      <c r="E15" t="s">
        <v>75</v>
      </c>
      <c r="F15" t="s">
        <v>69</v>
      </c>
      <c r="G15" t="s">
        <v>97</v>
      </c>
      <c r="I15" t="s">
        <v>98</v>
      </c>
      <c r="J15">
        <f t="shared" si="1"/>
        <v>0</v>
      </c>
      <c r="K15">
        <v>2</v>
      </c>
      <c r="L15">
        <v>5</v>
      </c>
    </row>
    <row r="16" spans="1:12" x14ac:dyDescent="0.3">
      <c r="A16" t="s">
        <v>99</v>
      </c>
      <c r="B16" t="s">
        <v>94</v>
      </c>
      <c r="C16" t="s">
        <v>31</v>
      </c>
      <c r="D16" t="s">
        <v>32</v>
      </c>
      <c r="E16" t="s">
        <v>75</v>
      </c>
      <c r="F16" t="s">
        <v>69</v>
      </c>
      <c r="G16" t="s">
        <v>97</v>
      </c>
      <c r="I16" t="s">
        <v>16</v>
      </c>
      <c r="J16">
        <f t="shared" si="1"/>
        <v>0</v>
      </c>
      <c r="K16">
        <v>1</v>
      </c>
      <c r="L16">
        <v>5</v>
      </c>
    </row>
    <row r="17" spans="1:12" x14ac:dyDescent="0.3">
      <c r="A17" t="s">
        <v>100</v>
      </c>
      <c r="B17" t="s">
        <v>89</v>
      </c>
      <c r="C17" t="s">
        <v>20</v>
      </c>
      <c r="D17" t="s">
        <v>21</v>
      </c>
      <c r="F17" t="s">
        <v>69</v>
      </c>
      <c r="I17" t="s">
        <v>96</v>
      </c>
      <c r="J17">
        <f t="shared" si="1"/>
        <v>1</v>
      </c>
      <c r="K17">
        <v>2</v>
      </c>
      <c r="L17">
        <v>5</v>
      </c>
    </row>
    <row r="18" spans="1:12" x14ac:dyDescent="0.3">
      <c r="A18" t="s">
        <v>92</v>
      </c>
      <c r="B18" t="s">
        <v>83</v>
      </c>
      <c r="C18" t="s">
        <v>13</v>
      </c>
      <c r="D18" t="s">
        <v>37</v>
      </c>
      <c r="I18" t="s">
        <v>67</v>
      </c>
      <c r="J18">
        <f t="shared" si="1"/>
        <v>1</v>
      </c>
      <c r="K18">
        <v>2</v>
      </c>
      <c r="L18">
        <v>5</v>
      </c>
    </row>
    <row r="19" spans="1:12" x14ac:dyDescent="0.3">
      <c r="I19" t="s">
        <v>71</v>
      </c>
      <c r="J19">
        <f t="shared" si="1"/>
        <v>1</v>
      </c>
      <c r="K19">
        <v>2</v>
      </c>
      <c r="L19">
        <v>5</v>
      </c>
    </row>
    <row r="20" spans="1:12" x14ac:dyDescent="0.3">
      <c r="I20" t="s">
        <v>101</v>
      </c>
      <c r="J20">
        <f t="shared" si="1"/>
        <v>0</v>
      </c>
      <c r="K20">
        <v>2</v>
      </c>
      <c r="L20">
        <v>5</v>
      </c>
    </row>
    <row r="21" spans="1:12" x14ac:dyDescent="0.3">
      <c r="I21" t="s">
        <v>78</v>
      </c>
      <c r="J21">
        <f t="shared" si="1"/>
        <v>1</v>
      </c>
      <c r="K21">
        <v>2</v>
      </c>
      <c r="L21">
        <v>5</v>
      </c>
    </row>
    <row r="22" spans="1:12" x14ac:dyDescent="0.3">
      <c r="I22" t="s">
        <v>102</v>
      </c>
      <c r="J22">
        <f t="shared" si="1"/>
        <v>0</v>
      </c>
      <c r="K22">
        <v>2</v>
      </c>
      <c r="L22">
        <v>5</v>
      </c>
    </row>
    <row r="23" spans="1:12" x14ac:dyDescent="0.3">
      <c r="I23" t="s">
        <v>103</v>
      </c>
      <c r="J23">
        <f t="shared" si="1"/>
        <v>0</v>
      </c>
      <c r="K23">
        <v>1</v>
      </c>
      <c r="L23">
        <v>5</v>
      </c>
    </row>
    <row r="24" spans="1:12" x14ac:dyDescent="0.3">
      <c r="I24" t="s">
        <v>104</v>
      </c>
      <c r="J24">
        <f t="shared" si="1"/>
        <v>0</v>
      </c>
      <c r="K24">
        <v>1</v>
      </c>
      <c r="L24">
        <v>5</v>
      </c>
    </row>
    <row r="25" spans="1:12" x14ac:dyDescent="0.3">
      <c r="I25" t="s">
        <v>105</v>
      </c>
      <c r="J25">
        <f t="shared" si="1"/>
        <v>0</v>
      </c>
      <c r="K25">
        <v>1</v>
      </c>
      <c r="L25">
        <v>5</v>
      </c>
    </row>
    <row r="26" spans="1:12" x14ac:dyDescent="0.3">
      <c r="I26" t="s">
        <v>106</v>
      </c>
      <c r="J26">
        <f t="shared" si="1"/>
        <v>0</v>
      </c>
      <c r="K26">
        <v>1</v>
      </c>
      <c r="L26">
        <v>5</v>
      </c>
    </row>
    <row r="27" spans="1:12" x14ac:dyDescent="0.3">
      <c r="I27" t="s">
        <v>107</v>
      </c>
      <c r="J27">
        <f t="shared" si="1"/>
        <v>0</v>
      </c>
      <c r="K27">
        <v>1</v>
      </c>
      <c r="L27">
        <v>5</v>
      </c>
    </row>
    <row r="28" spans="1:12" x14ac:dyDescent="0.3">
      <c r="I28" t="s">
        <v>108</v>
      </c>
      <c r="J28">
        <f t="shared" si="1"/>
        <v>0</v>
      </c>
      <c r="K28">
        <v>1</v>
      </c>
      <c r="L28">
        <v>5</v>
      </c>
    </row>
    <row r="29" spans="1:12" x14ac:dyDescent="0.3">
      <c r="I29" t="s">
        <v>109</v>
      </c>
      <c r="J29">
        <f t="shared" si="1"/>
        <v>0</v>
      </c>
      <c r="K29">
        <v>1</v>
      </c>
      <c r="L29">
        <v>5</v>
      </c>
    </row>
    <row r="30" spans="1:12" x14ac:dyDescent="0.3">
      <c r="I30" t="s">
        <v>110</v>
      </c>
      <c r="J30">
        <f t="shared" si="1"/>
        <v>0</v>
      </c>
      <c r="K30">
        <v>1</v>
      </c>
      <c r="L30">
        <v>5</v>
      </c>
    </row>
    <row r="31" spans="1:12" x14ac:dyDescent="0.3">
      <c r="I31" t="s">
        <v>80</v>
      </c>
      <c r="J31">
        <f t="shared" si="1"/>
        <v>1</v>
      </c>
      <c r="K31">
        <v>2</v>
      </c>
      <c r="L31">
        <v>5</v>
      </c>
    </row>
    <row r="32" spans="1:12" x14ac:dyDescent="0.3">
      <c r="I32" t="s">
        <v>111</v>
      </c>
      <c r="J32">
        <f t="shared" si="1"/>
        <v>0</v>
      </c>
      <c r="K32">
        <v>2</v>
      </c>
      <c r="L32" s="4">
        <v>7</v>
      </c>
    </row>
    <row r="33" spans="9:12" x14ac:dyDescent="0.3">
      <c r="I33" t="s">
        <v>85</v>
      </c>
      <c r="J33">
        <f t="shared" si="1"/>
        <v>6</v>
      </c>
      <c r="K33">
        <v>1</v>
      </c>
      <c r="L33">
        <v>5</v>
      </c>
    </row>
    <row r="34" spans="9:12" x14ac:dyDescent="0.3">
      <c r="I34" t="s">
        <v>100</v>
      </c>
      <c r="J34">
        <f t="shared" si="1"/>
        <v>1</v>
      </c>
      <c r="K34">
        <v>1</v>
      </c>
      <c r="L34">
        <v>5</v>
      </c>
    </row>
    <row r="35" spans="9:12" x14ac:dyDescent="0.3">
      <c r="I35" t="s">
        <v>112</v>
      </c>
      <c r="J35">
        <f>COUNTIF(A:A, I35)</f>
        <v>0</v>
      </c>
      <c r="K35">
        <v>1</v>
      </c>
      <c r="L35">
        <v>5</v>
      </c>
    </row>
    <row r="36" spans="9:12" x14ac:dyDescent="0.3">
      <c r="I36" t="s">
        <v>113</v>
      </c>
      <c r="J36">
        <f t="shared" si="1"/>
        <v>0</v>
      </c>
      <c r="K36">
        <v>2</v>
      </c>
      <c r="L36">
        <v>5</v>
      </c>
    </row>
    <row r="37" spans="9:12" x14ac:dyDescent="0.3">
      <c r="I37" t="s">
        <v>114</v>
      </c>
      <c r="J37">
        <f t="shared" si="1"/>
        <v>0</v>
      </c>
      <c r="K37">
        <v>1</v>
      </c>
      <c r="L37" s="4">
        <v>7</v>
      </c>
    </row>
    <row r="38" spans="9:12" x14ac:dyDescent="0.3">
      <c r="I38" t="s">
        <v>115</v>
      </c>
      <c r="J38">
        <f t="shared" si="1"/>
        <v>0</v>
      </c>
      <c r="K38">
        <v>1</v>
      </c>
      <c r="L38">
        <v>5</v>
      </c>
    </row>
    <row r="39" spans="9:12" x14ac:dyDescent="0.3">
      <c r="I39" t="s">
        <v>116</v>
      </c>
      <c r="J39">
        <f t="shared" si="1"/>
        <v>0</v>
      </c>
      <c r="K39">
        <v>1</v>
      </c>
      <c r="L39">
        <v>5</v>
      </c>
    </row>
    <row r="40" spans="9:12" x14ac:dyDescent="0.3">
      <c r="I40" t="s">
        <v>117</v>
      </c>
      <c r="J40">
        <f t="shared" si="1"/>
        <v>0</v>
      </c>
      <c r="K40">
        <v>2</v>
      </c>
      <c r="L40">
        <v>5</v>
      </c>
    </row>
    <row r="41" spans="9:12" x14ac:dyDescent="0.3">
      <c r="I41" t="s">
        <v>118</v>
      </c>
      <c r="J41">
        <f t="shared" si="1"/>
        <v>0</v>
      </c>
      <c r="K41">
        <v>1</v>
      </c>
      <c r="L41">
        <v>5</v>
      </c>
    </row>
    <row r="42" spans="9:12" x14ac:dyDescent="0.3">
      <c r="I42" t="s">
        <v>119</v>
      </c>
      <c r="J42">
        <f t="shared" si="1"/>
        <v>0</v>
      </c>
      <c r="K42">
        <v>1</v>
      </c>
      <c r="L42">
        <v>5</v>
      </c>
    </row>
    <row r="43" spans="9:12" x14ac:dyDescent="0.3">
      <c r="I43" t="s">
        <v>120</v>
      </c>
      <c r="J43">
        <f t="shared" si="1"/>
        <v>0</v>
      </c>
      <c r="K43">
        <v>1</v>
      </c>
      <c r="L43" s="4">
        <v>7</v>
      </c>
    </row>
    <row r="44" spans="9:12" x14ac:dyDescent="0.3">
      <c r="I44" t="s">
        <v>121</v>
      </c>
      <c r="J44">
        <f t="shared" si="1"/>
        <v>0</v>
      </c>
      <c r="K44" s="2">
        <v>1</v>
      </c>
      <c r="L44">
        <v>5</v>
      </c>
    </row>
    <row r="45" spans="9:12" x14ac:dyDescent="0.3">
      <c r="I45" t="s">
        <v>122</v>
      </c>
      <c r="J45">
        <f t="shared" si="1"/>
        <v>0</v>
      </c>
      <c r="K45" s="2">
        <v>1</v>
      </c>
      <c r="L45">
        <v>5</v>
      </c>
    </row>
    <row r="46" spans="9:12" x14ac:dyDescent="0.3">
      <c r="I46" t="s">
        <v>123</v>
      </c>
      <c r="J46">
        <f t="shared" si="1"/>
        <v>0</v>
      </c>
      <c r="K46" s="2">
        <v>2</v>
      </c>
      <c r="L46">
        <v>5</v>
      </c>
    </row>
    <row r="47" spans="9:12" x14ac:dyDescent="0.3">
      <c r="I47" t="s">
        <v>124</v>
      </c>
      <c r="J47">
        <f t="shared" si="1"/>
        <v>0</v>
      </c>
      <c r="K47">
        <v>2</v>
      </c>
      <c r="L47">
        <v>5</v>
      </c>
    </row>
    <row r="48" spans="9:12" x14ac:dyDescent="0.3">
      <c r="I48" t="s">
        <v>125</v>
      </c>
      <c r="J48">
        <f t="shared" si="1"/>
        <v>0</v>
      </c>
      <c r="K48">
        <v>1</v>
      </c>
      <c r="L48">
        <v>5</v>
      </c>
    </row>
    <row r="49" spans="9:12" x14ac:dyDescent="0.3">
      <c r="I49" t="s">
        <v>126</v>
      </c>
      <c r="J49">
        <f t="shared" si="1"/>
        <v>0</v>
      </c>
      <c r="K49">
        <v>1</v>
      </c>
      <c r="L49">
        <v>5</v>
      </c>
    </row>
    <row r="50" spans="9:12" x14ac:dyDescent="0.3">
      <c r="I50" t="s">
        <v>127</v>
      </c>
      <c r="J50">
        <f t="shared" si="1"/>
        <v>0</v>
      </c>
      <c r="K50">
        <v>1</v>
      </c>
      <c r="L50">
        <v>5</v>
      </c>
    </row>
    <row r="51" spans="9:12" x14ac:dyDescent="0.3">
      <c r="I51" t="s">
        <v>128</v>
      </c>
      <c r="J51">
        <f t="shared" si="1"/>
        <v>0</v>
      </c>
      <c r="K51">
        <v>1</v>
      </c>
      <c r="L51">
        <v>5</v>
      </c>
    </row>
    <row r="52" spans="9:12" x14ac:dyDescent="0.3">
      <c r="I52" t="s">
        <v>129</v>
      </c>
      <c r="J52">
        <f t="shared" si="1"/>
        <v>0</v>
      </c>
      <c r="K52">
        <v>1</v>
      </c>
      <c r="L52">
        <v>5</v>
      </c>
    </row>
    <row r="53" spans="9:12" x14ac:dyDescent="0.3">
      <c r="I53" t="s">
        <v>130</v>
      </c>
      <c r="J53">
        <f t="shared" si="1"/>
        <v>0</v>
      </c>
      <c r="K53">
        <v>1</v>
      </c>
      <c r="L53">
        <v>5</v>
      </c>
    </row>
    <row r="54" spans="9:12" x14ac:dyDescent="0.3">
      <c r="I54" t="s">
        <v>131</v>
      </c>
      <c r="J54">
        <f t="shared" si="1"/>
        <v>0</v>
      </c>
      <c r="K54">
        <v>2</v>
      </c>
      <c r="L54">
        <v>5</v>
      </c>
    </row>
    <row r="55" spans="9:12" x14ac:dyDescent="0.3">
      <c r="I55" t="s">
        <v>132</v>
      </c>
      <c r="J55">
        <f t="shared" si="1"/>
        <v>0</v>
      </c>
      <c r="K55">
        <v>2</v>
      </c>
      <c r="L55">
        <v>5</v>
      </c>
    </row>
    <row r="56" spans="9:12" x14ac:dyDescent="0.3">
      <c r="I56" t="s">
        <v>133</v>
      </c>
      <c r="J56">
        <f t="shared" si="1"/>
        <v>0</v>
      </c>
      <c r="K56">
        <v>2</v>
      </c>
      <c r="L56">
        <v>5</v>
      </c>
    </row>
    <row r="57" spans="9:12" x14ac:dyDescent="0.3">
      <c r="I57" t="s">
        <v>134</v>
      </c>
      <c r="J57">
        <f t="shared" si="1"/>
        <v>0</v>
      </c>
      <c r="K57">
        <v>2</v>
      </c>
      <c r="L57">
        <v>5</v>
      </c>
    </row>
    <row r="58" spans="9:12" x14ac:dyDescent="0.3">
      <c r="I58" t="s">
        <v>135</v>
      </c>
      <c r="J58">
        <f t="shared" si="1"/>
        <v>0</v>
      </c>
      <c r="K58">
        <v>2</v>
      </c>
      <c r="L58">
        <v>5</v>
      </c>
    </row>
    <row r="59" spans="9:12" x14ac:dyDescent="0.3">
      <c r="I59" t="s">
        <v>136</v>
      </c>
      <c r="J59">
        <f t="shared" si="1"/>
        <v>0</v>
      </c>
      <c r="K59">
        <v>1</v>
      </c>
      <c r="L59" s="4">
        <v>7</v>
      </c>
    </row>
    <row r="60" spans="9:12" x14ac:dyDescent="0.3">
      <c r="I60" t="s">
        <v>137</v>
      </c>
      <c r="J60">
        <f t="shared" si="1"/>
        <v>0</v>
      </c>
      <c r="K60">
        <v>1</v>
      </c>
      <c r="L60">
        <v>7</v>
      </c>
    </row>
    <row r="61" spans="9:12" x14ac:dyDescent="0.3">
      <c r="I61" t="s">
        <v>138</v>
      </c>
      <c r="J61">
        <f t="shared" si="1"/>
        <v>0</v>
      </c>
      <c r="K61">
        <v>1</v>
      </c>
      <c r="L61">
        <v>7</v>
      </c>
    </row>
    <row r="62" spans="9:12" x14ac:dyDescent="0.3">
      <c r="I62" t="s">
        <v>139</v>
      </c>
      <c r="J62">
        <f t="shared" si="1"/>
        <v>0</v>
      </c>
      <c r="K62">
        <v>1</v>
      </c>
      <c r="L62">
        <v>5</v>
      </c>
    </row>
    <row r="63" spans="9:12" x14ac:dyDescent="0.3">
      <c r="I63" t="s">
        <v>140</v>
      </c>
      <c r="J63">
        <f t="shared" si="1"/>
        <v>0</v>
      </c>
      <c r="K63">
        <v>1</v>
      </c>
      <c r="L63">
        <v>5</v>
      </c>
    </row>
    <row r="64" spans="9:12" x14ac:dyDescent="0.3">
      <c r="I64" t="s">
        <v>141</v>
      </c>
      <c r="J64">
        <f t="shared" si="1"/>
        <v>0</v>
      </c>
      <c r="K64">
        <v>2</v>
      </c>
      <c r="L64">
        <v>5</v>
      </c>
    </row>
    <row r="65" spans="9:12" x14ac:dyDescent="0.3">
      <c r="I65" t="s">
        <v>142</v>
      </c>
      <c r="J65">
        <f t="shared" si="1"/>
        <v>0</v>
      </c>
      <c r="K65">
        <v>2</v>
      </c>
      <c r="L65">
        <v>5</v>
      </c>
    </row>
    <row r="66" spans="9:12" x14ac:dyDescent="0.3">
      <c r="I66" t="s">
        <v>143</v>
      </c>
      <c r="J66">
        <f t="shared" si="1"/>
        <v>0</v>
      </c>
      <c r="K66">
        <v>2</v>
      </c>
      <c r="L66">
        <v>5</v>
      </c>
    </row>
    <row r="67" spans="9:12" x14ac:dyDescent="0.3">
      <c r="I67" t="s">
        <v>144</v>
      </c>
      <c r="J67">
        <f t="shared" si="1"/>
        <v>0</v>
      </c>
      <c r="K67">
        <v>1</v>
      </c>
      <c r="L67">
        <v>5</v>
      </c>
    </row>
    <row r="68" spans="9:12" x14ac:dyDescent="0.3">
      <c r="I68" t="s">
        <v>145</v>
      </c>
      <c r="J68">
        <f t="shared" si="1"/>
        <v>0</v>
      </c>
      <c r="K68">
        <v>1</v>
      </c>
      <c r="L68">
        <v>5</v>
      </c>
    </row>
    <row r="69" spans="9:12" x14ac:dyDescent="0.3">
      <c r="I69" t="s">
        <v>146</v>
      </c>
      <c r="J69">
        <f t="shared" si="1"/>
        <v>0</v>
      </c>
      <c r="K69" s="3">
        <v>1</v>
      </c>
      <c r="L69">
        <v>5</v>
      </c>
    </row>
    <row r="70" spans="9:12" x14ac:dyDescent="0.3">
      <c r="I70" t="s">
        <v>147</v>
      </c>
      <c r="J70">
        <f t="shared" si="1"/>
        <v>0</v>
      </c>
      <c r="K70">
        <v>1</v>
      </c>
      <c r="L70">
        <v>5</v>
      </c>
    </row>
    <row r="71" spans="9:12" x14ac:dyDescent="0.3">
      <c r="I71" t="s">
        <v>148</v>
      </c>
      <c r="J71">
        <f t="shared" si="1"/>
        <v>0</v>
      </c>
      <c r="K71">
        <v>1</v>
      </c>
      <c r="L71">
        <v>5</v>
      </c>
    </row>
    <row r="72" spans="9:12" x14ac:dyDescent="0.3">
      <c r="I72" t="s">
        <v>149</v>
      </c>
      <c r="J72">
        <f t="shared" si="1"/>
        <v>0</v>
      </c>
      <c r="K72">
        <v>2</v>
      </c>
      <c r="L72">
        <v>5</v>
      </c>
    </row>
    <row r="73" spans="9:12" x14ac:dyDescent="0.3">
      <c r="I73" t="s">
        <v>150</v>
      </c>
      <c r="J73">
        <f t="shared" si="1"/>
        <v>0</v>
      </c>
      <c r="K73">
        <v>1</v>
      </c>
      <c r="L73">
        <v>5</v>
      </c>
    </row>
    <row r="74" spans="9:12" x14ac:dyDescent="0.3">
      <c r="I74" t="s">
        <v>151</v>
      </c>
      <c r="J74">
        <f t="shared" si="1"/>
        <v>0</v>
      </c>
      <c r="K74">
        <v>1</v>
      </c>
      <c r="L74">
        <v>5</v>
      </c>
    </row>
    <row r="75" spans="9:12" x14ac:dyDescent="0.3">
      <c r="I75" t="s">
        <v>152</v>
      </c>
      <c r="J75">
        <f t="shared" si="1"/>
        <v>0</v>
      </c>
      <c r="K75">
        <v>2</v>
      </c>
      <c r="L75">
        <v>5</v>
      </c>
    </row>
    <row r="76" spans="9:12" x14ac:dyDescent="0.3">
      <c r="I76" t="s">
        <v>153</v>
      </c>
      <c r="J76">
        <f t="shared" si="1"/>
        <v>0</v>
      </c>
      <c r="K76">
        <v>2</v>
      </c>
      <c r="L76">
        <v>5</v>
      </c>
    </row>
    <row r="77" spans="9:12" x14ac:dyDescent="0.3">
      <c r="I77" t="s">
        <v>154</v>
      </c>
      <c r="J77">
        <f t="shared" ref="J77" si="2">COUNTIF(A:A, I77)</f>
        <v>0</v>
      </c>
      <c r="K77">
        <v>1</v>
      </c>
      <c r="L77">
        <v>5</v>
      </c>
    </row>
  </sheetData>
  <conditionalFormatting sqref="J2:J77">
    <cfRule type="cellIs" dxfId="1" priority="1" operator="equal">
      <formula>4</formula>
    </cfRule>
    <cfRule type="cellIs" dxfId="0" priority="2" operator="greaterThanOrEqual">
      <formula>5</formula>
    </cfRule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"/>
  <sheetViews>
    <sheetView workbookViewId="0">
      <selection activeCell="L5" sqref="L5"/>
    </sheetView>
  </sheetViews>
  <sheetFormatPr baseColWidth="10" defaultColWidth="8.88671875" defaultRowHeight="14.4" x14ac:dyDescent="0.3"/>
  <sheetData>
    <row r="1" spans="1:12" ht="15" customHeight="1" thickBot="1" x14ac:dyDescent="0.3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I1" s="13" t="s">
        <v>7</v>
      </c>
      <c r="J1" s="14" t="s">
        <v>8</v>
      </c>
      <c r="K1" s="14" t="s">
        <v>9</v>
      </c>
      <c r="L1" s="15" t="s">
        <v>10</v>
      </c>
    </row>
    <row r="2" spans="1:12" ht="28.2" customHeight="1" thickBot="1" x14ac:dyDescent="0.35">
      <c r="A2" t="s">
        <v>11</v>
      </c>
      <c r="B2" t="s">
        <v>12</v>
      </c>
      <c r="C2" s="5" t="s">
        <v>13</v>
      </c>
      <c r="D2" s="5" t="s">
        <v>14</v>
      </c>
      <c r="E2" t="s">
        <v>15</v>
      </c>
      <c r="I2">
        <v>1</v>
      </c>
      <c r="J2">
        <v>1</v>
      </c>
      <c r="K2">
        <v>1</v>
      </c>
      <c r="L2">
        <v>2</v>
      </c>
    </row>
    <row r="3" spans="1:12" x14ac:dyDescent="0.3">
      <c r="A3" t="s">
        <v>16</v>
      </c>
      <c r="B3" t="s">
        <v>12</v>
      </c>
      <c r="C3" t="s">
        <v>13</v>
      </c>
      <c r="D3" t="s">
        <v>14</v>
      </c>
      <c r="E3" t="s">
        <v>15</v>
      </c>
      <c r="I3">
        <v>2</v>
      </c>
      <c r="J3">
        <v>2</v>
      </c>
      <c r="K3">
        <v>1</v>
      </c>
      <c r="L3">
        <v>2</v>
      </c>
    </row>
    <row r="4" spans="1:12" x14ac:dyDescent="0.3">
      <c r="A4" t="s">
        <v>15</v>
      </c>
      <c r="B4" t="s">
        <v>12</v>
      </c>
      <c r="C4" t="s">
        <v>13</v>
      </c>
      <c r="D4" t="s">
        <v>14</v>
      </c>
      <c r="E4" t="s">
        <v>15</v>
      </c>
      <c r="I4">
        <v>3</v>
      </c>
      <c r="J4">
        <v>1</v>
      </c>
      <c r="K4">
        <v>2</v>
      </c>
      <c r="L4">
        <v>2</v>
      </c>
    </row>
    <row r="5" spans="1:12" x14ac:dyDescent="0.3">
      <c r="I5">
        <v>4</v>
      </c>
      <c r="J5">
        <v>1</v>
      </c>
      <c r="K5">
        <v>2</v>
      </c>
      <c r="L5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Coordenadas</vt:lpstr>
      <vt:lpstr>2025-2026</vt:lpstr>
      <vt:lpstr>2024-2025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Arias Antúnez</dc:creator>
  <cp:lastModifiedBy>MARÍA PICAZO SÁNCHEZ</cp:lastModifiedBy>
  <dcterms:created xsi:type="dcterms:W3CDTF">2015-06-05T18:17:20Z</dcterms:created>
  <dcterms:modified xsi:type="dcterms:W3CDTF">2026-03-19T16:22:45Z</dcterms:modified>
</cp:coreProperties>
</file>