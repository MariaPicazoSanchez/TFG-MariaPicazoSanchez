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28" yWindow="2928" windowWidth="17280" windowHeight="8880" tabRatio="600" firstSheet="0" activeTab="1" autoFilterDateGrouping="1"/>
  </bookViews>
  <sheets>
    <sheet name="Coordenadas" sheetId="1" state="visible" r:id="rId1"/>
    <sheet name="2025-2026" sheetId="2" state="visible" r:id="rId2"/>
    <sheet name="2024-202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6" fillId="4" borderId="8" applyAlignment="1" pivotButton="0" quotePrefix="0" xfId="0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4">
  <autoFilter ref="I1:L77"/>
  <sortState ref="I2:L77">
    <sortCondition ref="I1:I77"/>
  </sortState>
  <tableColumns count="4">
    <tableColumn id="1" name="Asignaturas" dataDxfId="3"/>
    <tableColumn id="2" name="Matriculados" dataDxfId="2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A10" sqref="A10:B10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tabSelected="1" topLeftCell="A78" workbookViewId="0">
      <selection activeCell="J12" sqref="J2:J12"/>
    </sheetView>
  </sheetViews>
  <sheetFormatPr baseColWidth="10" defaultColWidth="8.88671875" defaultRowHeight="14.4"/>
  <cols>
    <col width="30.77734375" bestFit="1" customWidth="1" min="1" max="1"/>
    <col width="38.33203125" bestFit="1" customWidth="1" min="9" max="9"/>
    <col width="16.44140625" bestFit="1" customWidth="1" min="10" max="10"/>
    <col width="16.21875" bestFit="1" customWidth="1" min="11" max="11"/>
  </cols>
  <sheetData>
    <row r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11" t="inlineStr">
        <is>
          <t>LA</t>
        </is>
      </c>
      <c r="H1" s="12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t="inlineStr">
        <is>
          <t>Diseño Gráfico y Animación</t>
        </is>
      </c>
      <c r="B2" t="inlineStr">
        <is>
          <t>Youseff Prueba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inlineStr">
        <is>
          <t xml:space="preserve">(MUII) Gestión de Auditoría y Seguridad </t>
        </is>
      </c>
      <c r="J2">
        <f>COUNTIF(A:A, I2)</f>
        <v/>
      </c>
      <c r="K2" t="n">
        <v>1</v>
      </c>
      <c r="L2" t="n">
        <v>5</v>
      </c>
    </row>
    <row r="3">
      <c r="A3" t="inlineStr">
        <is>
          <t>Dispositivos y Redes Inalámbricos</t>
        </is>
      </c>
      <c r="B3" t="inlineStr">
        <is>
          <t>Youseff Prueba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inlineStr">
        <is>
          <t>(MUII) Sistemas y Servicios en la Nube</t>
        </is>
      </c>
      <c r="J3">
        <f>COUNTIF(A:A, I3)</f>
        <v/>
      </c>
      <c r="K3" t="n">
        <v>1</v>
      </c>
      <c r="L3" t="n">
        <v>5</v>
      </c>
    </row>
    <row r="4">
      <c r="A4" t="inlineStr">
        <is>
          <t>Bases de Datos - I</t>
        </is>
      </c>
      <c r="B4" t="inlineStr">
        <is>
          <t>Andrea Prueba</t>
        </is>
      </c>
      <c r="C4" t="inlineStr">
        <is>
          <t>Italia</t>
        </is>
      </c>
      <c r="D4" t="inlineStr">
        <is>
          <t>Unimore</t>
        </is>
      </c>
      <c r="E4" t="inlineStr">
        <is>
          <t>2</t>
        </is>
      </c>
      <c r="G4" t="inlineStr">
        <is>
          <t>un_enlace.pdf</t>
        </is>
      </c>
      <c r="I4" t="inlineStr">
        <is>
          <t>Aceleradores Gráficos</t>
        </is>
      </c>
      <c r="J4">
        <f>COUNTIF(A:A, I4)</f>
        <v/>
      </c>
      <c r="K4" t="n">
        <v>2</v>
      </c>
      <c r="L4" t="n">
        <v>5</v>
      </c>
    </row>
    <row r="5">
      <c r="A5" t="inlineStr">
        <is>
          <t>Estructura de Computadores - A</t>
        </is>
      </c>
      <c r="B5" t="inlineStr">
        <is>
          <t>Andrea Prueba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inlineStr">
        <is>
          <t>Álgebra</t>
        </is>
      </c>
      <c r="J5">
        <f>COUNTIF(A:A, I5)</f>
        <v/>
      </c>
      <c r="K5" t="n">
        <v>2</v>
      </c>
      <c r="L5" t="n">
        <v>5</v>
      </c>
    </row>
    <row r="6">
      <c r="A6" t="inlineStr">
        <is>
          <t>Fundamentos de Programación II - A</t>
        </is>
      </c>
      <c r="B6" t="inlineStr">
        <is>
          <t>Andrea Prueba</t>
        </is>
      </c>
      <c r="C6" t="inlineStr">
        <is>
          <t>Italia</t>
        </is>
      </c>
      <c r="D6" t="inlineStr">
        <is>
          <t>Unimore</t>
        </is>
      </c>
      <c r="E6" t="inlineStr">
        <is>
          <t>2</t>
        </is>
      </c>
      <c r="G6" t="inlineStr">
        <is>
          <t>un_enlace.pdf</t>
        </is>
      </c>
      <c r="I6" t="inlineStr">
        <is>
          <t>Álgebra y Matemática Discreta - A</t>
        </is>
      </c>
      <c r="J6">
        <f>COUNTIF(A:A, I6)</f>
        <v/>
      </c>
      <c r="K6" t="n">
        <v>2</v>
      </c>
      <c r="L6" t="n">
        <v>5</v>
      </c>
    </row>
    <row r="7">
      <c r="A7" t="inlineStr">
        <is>
          <t>Comercio Electrónico</t>
        </is>
      </c>
      <c r="B7" t="inlineStr">
        <is>
          <t>Berto Prueba</t>
        </is>
      </c>
      <c r="C7" t="inlineStr">
        <is>
          <t>Italia</t>
        </is>
      </c>
      <c r="D7" t="inlineStr">
        <is>
          <t>Unimore</t>
        </is>
      </c>
      <c r="I7" t="inlineStr">
        <is>
          <t>Álgebra y Matemática Discreta - I</t>
        </is>
      </c>
      <c r="J7">
        <f>COUNTIF(A:A, I7)</f>
        <v/>
      </c>
      <c r="K7" t="n">
        <v>2</v>
      </c>
      <c r="L7" t="n">
        <v>5</v>
      </c>
    </row>
    <row r="8">
      <c r="A8" t="inlineStr">
        <is>
          <t>Fundamentos Físicos - B</t>
        </is>
      </c>
      <c r="B8" t="inlineStr">
        <is>
          <t>Berto Prueba</t>
        </is>
      </c>
      <c r="C8" t="inlineStr">
        <is>
          <t>Italia</t>
        </is>
      </c>
      <c r="D8" t="inlineStr">
        <is>
          <t>Unimore</t>
        </is>
      </c>
      <c r="I8" t="inlineStr">
        <is>
          <t>Arquitectura de Computadores - I</t>
        </is>
      </c>
      <c r="J8">
        <f>COUNTIF(A:A, I8)</f>
        <v/>
      </c>
      <c r="K8" t="n">
        <v>1</v>
      </c>
      <c r="L8" t="n">
        <v>5</v>
      </c>
    </row>
    <row r="9">
      <c r="A9" t="inlineStr">
        <is>
          <t>Fundamentos Físicos - B</t>
        </is>
      </c>
      <c r="B9" t="inlineStr">
        <is>
          <t>Fran Prueba</t>
        </is>
      </c>
      <c r="C9" t="inlineStr">
        <is>
          <t>Jordania</t>
        </is>
      </c>
      <c r="D9" t="inlineStr">
        <is>
          <t>HTU</t>
        </is>
      </c>
      <c r="I9" t="inlineStr">
        <is>
          <t>Auditoría Sistemas Información</t>
        </is>
      </c>
      <c r="J9">
        <f>COUNTIF(A:A, I9)</f>
        <v/>
      </c>
      <c r="K9" t="n">
        <v>1</v>
      </c>
      <c r="L9" t="n">
        <v>5</v>
      </c>
    </row>
    <row r="10">
      <c r="A10" t="inlineStr">
        <is>
          <t>Fundamentos Físicos - B</t>
        </is>
      </c>
      <c r="B10" t="inlineStr">
        <is>
          <t>Martha Prueba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inlineStr">
        <is>
          <t>Bases de Datos - A</t>
        </is>
      </c>
      <c r="J10">
        <f>COUNTIF(A:A, I10)</f>
        <v/>
      </c>
      <c r="K10" t="n">
        <v>2</v>
      </c>
      <c r="L10" t="n">
        <v>5</v>
      </c>
    </row>
    <row r="11">
      <c r="A11" t="inlineStr">
        <is>
          <t>Fundamentos Físicos - B</t>
        </is>
      </c>
      <c r="B11" t="inlineStr">
        <is>
          <t>Lucia Prueba</t>
        </is>
      </c>
      <c r="C11" t="inlineStr">
        <is>
          <t>Chile</t>
        </is>
      </c>
      <c r="D11" t="inlineStr">
        <is>
          <t>UMAG</t>
        </is>
      </c>
      <c r="I11" t="inlineStr">
        <is>
          <t>Bases de Datos - I</t>
        </is>
      </c>
      <c r="J11">
        <f>COUNTIF(A:A, I11)</f>
        <v/>
      </c>
      <c r="K11" t="n">
        <v>2</v>
      </c>
      <c r="L11" t="n">
        <v>5</v>
      </c>
    </row>
    <row r="12">
      <c r="A12" t="inlineStr">
        <is>
          <t>Fundamentos Físicos - B</t>
        </is>
      </c>
      <c r="B12" t="inlineStr">
        <is>
          <t>Lucia Prueba</t>
        </is>
      </c>
      <c r="C12" t="inlineStr">
        <is>
          <t>Chile</t>
        </is>
      </c>
      <c r="D12" t="inlineStr">
        <is>
          <t>Duoc UC - Plaza Norte</t>
        </is>
      </c>
      <c r="I12" t="inlineStr">
        <is>
          <t>Cálculo y Métodos Numéricos - I</t>
        </is>
      </c>
      <c r="J12">
        <f>COUNTIF(A:A, I12)</f>
        <v/>
      </c>
      <c r="K12" t="n">
        <v>1</v>
      </c>
      <c r="L12" t="n">
        <v>5</v>
      </c>
    </row>
    <row r="13">
      <c r="A13" t="inlineStr">
        <is>
          <t>Fundamentos Físicos - B</t>
        </is>
      </c>
      <c r="B13" t="inlineStr">
        <is>
          <t>William Prueba</t>
        </is>
      </c>
      <c r="C13" t="inlineStr">
        <is>
          <t>Colombia</t>
        </is>
      </c>
      <c r="D13" t="inlineStr">
        <is>
          <t>Universidad Libre</t>
        </is>
      </c>
      <c r="I13" t="inlineStr">
        <is>
          <t>Calidad de los Sistemas SW</t>
        </is>
      </c>
      <c r="J13">
        <f>COUNTIF(A:A, I13)</f>
        <v/>
      </c>
      <c r="K13" t="n">
        <v>1</v>
      </c>
      <c r="L13" t="n">
        <v>5</v>
      </c>
    </row>
    <row r="14">
      <c r="A14" t="inlineStr">
        <is>
          <t>Calidad de los Sistemas SW</t>
        </is>
      </c>
      <c r="B14" t="inlineStr">
        <is>
          <t>Lola Prueba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inlineStr">
        <is>
          <t>Comercio Electrónico</t>
        </is>
      </c>
      <c r="J14">
        <f>COUNTIF(A:A, I14)</f>
        <v/>
      </c>
      <c r="K14" t="n">
        <v>1</v>
      </c>
      <c r="L14" t="n">
        <v>5</v>
      </c>
    </row>
    <row r="15">
      <c r="A15" t="inlineStr">
        <is>
          <t>Diseño de Software</t>
        </is>
      </c>
      <c r="B15" t="inlineStr">
        <is>
          <t>Lola Prueba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inlineStr">
        <is>
          <t>Criptografía</t>
        </is>
      </c>
      <c r="J15">
        <f>COUNTIF(A:A, I15)</f>
        <v/>
      </c>
      <c r="K15" t="n">
        <v>2</v>
      </c>
      <c r="L15" t="n">
        <v>5</v>
      </c>
    </row>
    <row r="16">
      <c r="A16" t="inlineStr">
        <is>
          <t>fgbvertb</t>
        </is>
      </c>
      <c r="B16" t="inlineStr">
        <is>
          <t>Lola Prueba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inlineStr">
        <is>
          <t>Diseño de Sistemas Interactivos</t>
        </is>
      </c>
      <c r="J16">
        <f>COUNTIF(A:A, I16)</f>
        <v/>
      </c>
      <c r="K16" t="n">
        <v>1</v>
      </c>
      <c r="L16" t="n">
        <v>5</v>
      </c>
    </row>
    <row r="17">
      <c r="A17" t="inlineStr">
        <is>
          <t>Fundamentos Físicos - I</t>
        </is>
      </c>
      <c r="B17" t="inlineStr">
        <is>
          <t>Martha Prueba</t>
        </is>
      </c>
      <c r="C17" t="inlineStr">
        <is>
          <t>Alemania</t>
        </is>
      </c>
      <c r="D17" t="inlineStr">
        <is>
          <t>Bonn-Rhein-Sieg</t>
        </is>
      </c>
      <c r="F17" t="inlineStr">
        <is>
          <t>x</t>
        </is>
      </c>
      <c r="I17" t="inlineStr">
        <is>
          <t>Diseño de Software</t>
        </is>
      </c>
      <c r="J17">
        <f>COUNTIF(A:A, I17)</f>
        <v/>
      </c>
      <c r="K17" t="n">
        <v>2</v>
      </c>
      <c r="L17" t="n">
        <v>5</v>
      </c>
    </row>
    <row r="18">
      <c r="A18" t="inlineStr">
        <is>
          <t>Cálculo y Métodos Numéricos - I</t>
        </is>
      </c>
      <c r="B18" t="inlineStr">
        <is>
          <t>Berto Prueba</t>
        </is>
      </c>
      <c r="C18" t="inlineStr">
        <is>
          <t>Italia</t>
        </is>
      </c>
      <c r="D18" t="inlineStr">
        <is>
          <t>Unimore</t>
        </is>
      </c>
      <c r="I18" t="inlineStr">
        <is>
          <t>Diseño Gráfico y Animación</t>
        </is>
      </c>
      <c r="J18">
        <f>COUNTIF(A:A, I18)</f>
        <v/>
      </c>
      <c r="K18" t="n">
        <v>2</v>
      </c>
      <c r="L18" t="n">
        <v>5</v>
      </c>
    </row>
    <row r="19">
      <c r="A19" t="inlineStr">
        <is>
          <t>Estancia Investigación</t>
        </is>
      </c>
      <c r="B19" t="inlineStr">
        <is>
          <t>Prueba Inves. Alu Pepa</t>
        </is>
      </c>
      <c r="C19" t="inlineStr">
        <is>
          <t>Georgia</t>
        </is>
      </c>
      <c r="D19" t="inlineStr">
        <is>
          <t>Business and Technology University</t>
        </is>
      </c>
      <c r="E19" t="inlineStr">
        <is>
          <t>1</t>
        </is>
      </c>
      <c r="F19" t="inlineStr">
        <is>
          <t>x</t>
        </is>
      </c>
      <c r="G19" t="inlineStr">
        <is>
          <t>C:\Users\maria\Downloads\OSSRequestForm-v4.xlsx</t>
        </is>
      </c>
      <c r="I19" t="inlineStr">
        <is>
          <t>Dispositivos y Redes Inalámbricos</t>
        </is>
      </c>
      <c r="J19">
        <f>COUNTIF(A:A, I19)</f>
        <v/>
      </c>
      <c r="K19" t="n">
        <v>2</v>
      </c>
      <c r="L19" t="n">
        <v>5</v>
      </c>
    </row>
    <row r="20">
      <c r="I20" t="inlineStr">
        <is>
          <t>Estadística - I</t>
        </is>
      </c>
      <c r="J20">
        <f>COUNTIF(A:A, I20)</f>
        <v/>
      </c>
      <c r="K20" t="n">
        <v>2</v>
      </c>
      <c r="L20" t="n">
        <v>5</v>
      </c>
    </row>
    <row r="21">
      <c r="I21" t="inlineStr">
        <is>
          <t>Estructura de Computadores - A</t>
        </is>
      </c>
      <c r="J21">
        <f>COUNTIF(A:A, I21)</f>
        <v/>
      </c>
      <c r="K21" t="n">
        <v>2</v>
      </c>
      <c r="L21" t="n">
        <v>5</v>
      </c>
    </row>
    <row r="22">
      <c r="I22" t="inlineStr">
        <is>
          <t>Estructura de Computadores - I</t>
        </is>
      </c>
      <c r="J22">
        <f>COUNTIF(A:A, I22)</f>
        <v/>
      </c>
      <c r="K22" t="n">
        <v>2</v>
      </c>
      <c r="L22" t="n">
        <v>5</v>
      </c>
    </row>
    <row r="23">
      <c r="I23" t="inlineStr">
        <is>
          <t>Estructura de Datos - A</t>
        </is>
      </c>
      <c r="J23">
        <f>COUNTIF(A:A, I23)</f>
        <v/>
      </c>
      <c r="K23" t="n">
        <v>1</v>
      </c>
      <c r="L23" t="n">
        <v>5</v>
      </c>
    </row>
    <row r="24">
      <c r="I24" t="inlineStr">
        <is>
          <t>Estructura de Datos - I</t>
        </is>
      </c>
      <c r="J24">
        <f>COUNTIF(A:A, I24)</f>
        <v/>
      </c>
      <c r="K24" t="n">
        <v>1</v>
      </c>
      <c r="L24" t="n">
        <v>5</v>
      </c>
    </row>
    <row r="25">
      <c r="I25" t="inlineStr">
        <is>
          <t>Fundamentos de Gestión Empresarial - A</t>
        </is>
      </c>
      <c r="J25">
        <f>COUNTIF(A:A, I25)</f>
        <v/>
      </c>
      <c r="K25" t="n">
        <v>1</v>
      </c>
      <c r="L25" t="n">
        <v>5</v>
      </c>
    </row>
    <row r="26">
      <c r="I26" t="inlineStr">
        <is>
          <t>Fundamentos de Gestión Empresarial - B</t>
        </is>
      </c>
      <c r="J26">
        <f>COUNTIF(A:A, I26)</f>
        <v/>
      </c>
      <c r="K26" t="n">
        <v>1</v>
      </c>
      <c r="L26" t="n">
        <v>5</v>
      </c>
    </row>
    <row r="27">
      <c r="I27" t="inlineStr">
        <is>
          <t>Fundamentos de Gestión Empresarial - C</t>
        </is>
      </c>
      <c r="J27">
        <f>COUNTIF(A:A, I27)</f>
        <v/>
      </c>
      <c r="K27" t="n">
        <v>1</v>
      </c>
      <c r="L27" t="n">
        <v>5</v>
      </c>
    </row>
    <row r="28">
      <c r="I28" t="inlineStr">
        <is>
          <t>Fundamentos de Gestión Empresarial - I</t>
        </is>
      </c>
      <c r="J28">
        <f>COUNTIF(A:A, I28)</f>
        <v/>
      </c>
      <c r="K28" t="n">
        <v>1</v>
      </c>
      <c r="L28" t="n">
        <v>5</v>
      </c>
    </row>
    <row r="29">
      <c r="I29" t="inlineStr">
        <is>
          <t>Fundamentos de Programación I - A</t>
        </is>
      </c>
      <c r="J29">
        <f>COUNTIF(A:A, I29)</f>
        <v/>
      </c>
      <c r="K29" t="n">
        <v>1</v>
      </c>
      <c r="L29" t="n">
        <v>5</v>
      </c>
    </row>
    <row r="30">
      <c r="I30" t="inlineStr">
        <is>
          <t>Fundamentos de Programación I - I</t>
        </is>
      </c>
      <c r="J30">
        <f>COUNTIF(A:A, I30)</f>
        <v/>
      </c>
      <c r="K30" t="n">
        <v>1</v>
      </c>
      <c r="L30" t="n">
        <v>5</v>
      </c>
    </row>
    <row r="31">
      <c r="I31" t="inlineStr">
        <is>
          <t>Fundamentos de Programación II - A</t>
        </is>
      </c>
      <c r="J31">
        <f>COUNTIF(A:A, I31)</f>
        <v/>
      </c>
      <c r="K31" t="n">
        <v>2</v>
      </c>
      <c r="L31" t="n">
        <v>5</v>
      </c>
    </row>
    <row r="32">
      <c r="I32" t="inlineStr">
        <is>
          <t>Fundamentos de Programación II - I</t>
        </is>
      </c>
      <c r="J32">
        <f>COUNTIF(A:A, I32)</f>
        <v/>
      </c>
      <c r="K32" t="n">
        <v>2</v>
      </c>
      <c r="L32" s="4" t="n">
        <v>7</v>
      </c>
    </row>
    <row r="33">
      <c r="I33" t="inlineStr">
        <is>
          <t>Fundamentos Físicos - B</t>
        </is>
      </c>
      <c r="J33">
        <f>COUNTIF(A:A, I33)</f>
        <v/>
      </c>
      <c r="K33" t="n">
        <v>1</v>
      </c>
      <c r="L33" t="n">
        <v>5</v>
      </c>
    </row>
    <row r="34">
      <c r="I34" t="inlineStr">
        <is>
          <t>Fundamentos Físicos - I</t>
        </is>
      </c>
      <c r="J34">
        <f>COUNTIF(A:A, I34)</f>
        <v/>
      </c>
      <c r="K34" t="n">
        <v>1</v>
      </c>
      <c r="L34" t="n">
        <v>5</v>
      </c>
    </row>
    <row r="35">
      <c r="I35" t="inlineStr">
        <is>
          <t>Gestión de proyectos software</t>
        </is>
      </c>
      <c r="J35">
        <f>COUNTIF(A:A, I35)</f>
        <v/>
      </c>
      <c r="K35" t="n">
        <v>1</v>
      </c>
      <c r="L35" t="n">
        <v>5</v>
      </c>
    </row>
    <row r="36">
      <c r="I36" t="inlineStr">
        <is>
          <t>Gestión de Sistemas de información</t>
        </is>
      </c>
      <c r="J36">
        <f>COUNTIF(A:A, I36)</f>
        <v/>
      </c>
      <c r="K36" t="n">
        <v>2</v>
      </c>
      <c r="L36" t="n">
        <v>5</v>
      </c>
    </row>
    <row r="37">
      <c r="I37" t="inlineStr">
        <is>
          <t>Ingeniería del Software I - I</t>
        </is>
      </c>
      <c r="J37">
        <f>COUNTIF(A:A, I37)</f>
        <v/>
      </c>
      <c r="K37" t="n">
        <v>1</v>
      </c>
      <c r="L37" s="4" t="n">
        <v>7</v>
      </c>
    </row>
    <row r="38">
      <c r="I38" t="inlineStr">
        <is>
          <t>Ingeniería del Software II - I</t>
        </is>
      </c>
      <c r="J38">
        <f>COUNTIF(A:A, I38)</f>
        <v/>
      </c>
      <c r="K38" t="n">
        <v>1</v>
      </c>
      <c r="L38" t="n">
        <v>5</v>
      </c>
    </row>
    <row r="39">
      <c r="I39" t="inlineStr">
        <is>
          <t>Ingeniería Web y de Servicios</t>
        </is>
      </c>
      <c r="J39">
        <f>COUNTIF(A:A, I39)</f>
        <v/>
      </c>
      <c r="K39" t="n">
        <v>1</v>
      </c>
      <c r="L39" t="n">
        <v>5</v>
      </c>
    </row>
    <row r="40">
      <c r="I40" t="inlineStr">
        <is>
          <t>Inteligencia Artificial en Videojuegos</t>
        </is>
      </c>
      <c r="J40">
        <f>COUNTIF(A:A, I40)</f>
        <v/>
      </c>
      <c r="K40" t="n">
        <v>2</v>
      </c>
      <c r="L40" t="n">
        <v>5</v>
      </c>
    </row>
    <row r="41">
      <c r="I41" t="inlineStr">
        <is>
          <t>Interacción Persona Ordenador I - A</t>
        </is>
      </c>
      <c r="J41">
        <f>COUNTIF(A:A, I41)</f>
        <v/>
      </c>
      <c r="K41" t="n">
        <v>1</v>
      </c>
      <c r="L41" t="n">
        <v>5</v>
      </c>
    </row>
    <row r="42">
      <c r="I42" t="inlineStr">
        <is>
          <t>Interacción Persona Ordenador I - B</t>
        </is>
      </c>
      <c r="J42">
        <f>COUNTIF(A:A, I42)</f>
        <v/>
      </c>
      <c r="K42" t="n">
        <v>1</v>
      </c>
      <c r="L42" t="n">
        <v>5</v>
      </c>
    </row>
    <row r="43">
      <c r="I43" t="inlineStr">
        <is>
          <t>Interacción Persona Ordenador I - I</t>
        </is>
      </c>
      <c r="J43">
        <f>COUNTIF(A:A, I43)</f>
        <v/>
      </c>
      <c r="K43" t="n">
        <v>1</v>
      </c>
      <c r="L43" s="4" t="n">
        <v>7</v>
      </c>
    </row>
    <row r="44">
      <c r="I44" t="inlineStr">
        <is>
          <t>Lógica - B</t>
        </is>
      </c>
      <c r="J44">
        <f>COUNTIF(A:A, I44)</f>
        <v/>
      </c>
      <c r="K44" s="2" t="n">
        <v>1</v>
      </c>
      <c r="L44" t="n">
        <v>5</v>
      </c>
    </row>
    <row r="45">
      <c r="I45" t="inlineStr">
        <is>
          <t>Lógica - I</t>
        </is>
      </c>
      <c r="J45">
        <f>COUNTIF(A:A, I45)</f>
        <v/>
      </c>
      <c r="K45" s="2" t="n">
        <v>1</v>
      </c>
      <c r="L45" t="n">
        <v>5</v>
      </c>
    </row>
    <row r="46">
      <c r="I46" t="inlineStr">
        <is>
          <t>Metodología de la Programación - A</t>
        </is>
      </c>
      <c r="J46">
        <f>COUNTIF(A:A, I46)</f>
        <v/>
      </c>
      <c r="K46" s="2" t="n">
        <v>2</v>
      </c>
      <c r="L46" t="n">
        <v>5</v>
      </c>
    </row>
    <row r="47">
      <c r="I47" t="inlineStr">
        <is>
          <t>Metodología de la Programación - I</t>
        </is>
      </c>
      <c r="J47">
        <f>COUNTIF(A:A, I47)</f>
        <v/>
      </c>
      <c r="K47" t="n">
        <v>2</v>
      </c>
      <c r="L47" t="n">
        <v>5</v>
      </c>
    </row>
    <row r="48">
      <c r="I48" t="inlineStr">
        <is>
          <t>Minería de datos</t>
        </is>
      </c>
      <c r="J48">
        <f>COUNTIF(A:A, I48)</f>
        <v/>
      </c>
      <c r="K48" t="n">
        <v>1</v>
      </c>
      <c r="L48" t="n">
        <v>5</v>
      </c>
    </row>
    <row r="49">
      <c r="I49" t="inlineStr">
        <is>
          <t>Multimedia</t>
        </is>
      </c>
      <c r="J49">
        <f>COUNTIF(A:A, I49)</f>
        <v/>
      </c>
      <c r="K49" t="n">
        <v>1</v>
      </c>
      <c r="L49" t="n">
        <v>5</v>
      </c>
    </row>
    <row r="50">
      <c r="I50" t="inlineStr">
        <is>
          <t>Organización de Computadores - I</t>
        </is>
      </c>
      <c r="J50">
        <f>COUNTIF(A:A, I50)</f>
        <v/>
      </c>
      <c r="K50" t="n">
        <v>1</v>
      </c>
      <c r="L50" t="n">
        <v>5</v>
      </c>
    </row>
    <row r="51">
      <c r="I51" t="inlineStr">
        <is>
          <t>Planificación e Integración de Sistemas</t>
        </is>
      </c>
      <c r="J51">
        <f>COUNTIF(A:A, I51)</f>
        <v/>
      </c>
      <c r="K51" t="n">
        <v>1</v>
      </c>
      <c r="L51" t="n">
        <v>5</v>
      </c>
    </row>
    <row r="52">
      <c r="I52" t="inlineStr">
        <is>
          <t>Procesadores de Lenguajes</t>
        </is>
      </c>
      <c r="J52">
        <f>COUNTIF(A:A, I52)</f>
        <v/>
      </c>
      <c r="K52" t="n">
        <v>1</v>
      </c>
      <c r="L52" t="n">
        <v>5</v>
      </c>
    </row>
    <row r="53">
      <c r="I53" t="inlineStr">
        <is>
          <t>Procesos de Ingeniería del SW</t>
        </is>
      </c>
      <c r="J53">
        <f>COUNTIF(A:A, I53)</f>
        <v/>
      </c>
      <c r="K53" t="n">
        <v>1</v>
      </c>
      <c r="L53" t="n">
        <v>5</v>
      </c>
    </row>
    <row r="54">
      <c r="I54" t="inlineStr">
        <is>
          <t>Programación Concurrente y Tiempo Real</t>
        </is>
      </c>
      <c r="J54">
        <f>COUNTIF(A:A, I54)</f>
        <v/>
      </c>
      <c r="K54" t="n">
        <v>2</v>
      </c>
      <c r="L54" t="n">
        <v>5</v>
      </c>
    </row>
    <row r="55">
      <c r="I55" t="inlineStr">
        <is>
          <t>Programación Declarativa</t>
        </is>
      </c>
      <c r="J55">
        <f>COUNTIF(A:A, I55)</f>
        <v/>
      </c>
      <c r="K55" t="n">
        <v>2</v>
      </c>
      <c r="L55" t="n">
        <v>5</v>
      </c>
    </row>
    <row r="56">
      <c r="I56" t="inlineStr">
        <is>
          <t>Redes de Computadores I - A</t>
        </is>
      </c>
      <c r="J56">
        <f>COUNTIF(A:A, I56)</f>
        <v/>
      </c>
      <c r="K56" t="n">
        <v>2</v>
      </c>
      <c r="L56" t="n">
        <v>5</v>
      </c>
    </row>
    <row r="57">
      <c r="I57" t="inlineStr">
        <is>
          <t>Redes de Computadores I - I</t>
        </is>
      </c>
      <c r="J57">
        <f>COUNTIF(A:A, I57)</f>
        <v/>
      </c>
      <c r="K57" t="n">
        <v>2</v>
      </c>
      <c r="L57" t="n">
        <v>5</v>
      </c>
    </row>
    <row r="58">
      <c r="I58" t="inlineStr">
        <is>
          <t>Robótica Autónoma</t>
        </is>
      </c>
      <c r="J58">
        <f>COUNTIF(A:A, I58)</f>
        <v/>
      </c>
      <c r="K58" t="n">
        <v>2</v>
      </c>
      <c r="L58" t="n">
        <v>5</v>
      </c>
    </row>
    <row r="59">
      <c r="I59" t="inlineStr">
        <is>
          <t>Seguridad de Sistemas Software</t>
        </is>
      </c>
      <c r="J59">
        <f>COUNTIF(A:A, I59)</f>
        <v/>
      </c>
      <c r="K59" t="n">
        <v>1</v>
      </c>
      <c r="L59" s="4" t="n">
        <v>7</v>
      </c>
    </row>
    <row r="60">
      <c r="I60" t="inlineStr">
        <is>
          <t>Seguridad en redes</t>
        </is>
      </c>
      <c r="J60">
        <f>COUNTIF(A:A, I60)</f>
        <v/>
      </c>
      <c r="K60" t="n">
        <v>1</v>
      </c>
      <c r="L60" t="n">
        <v>7</v>
      </c>
    </row>
    <row r="61">
      <c r="I61" t="inlineStr">
        <is>
          <t>Seguridad en Sistemas Informáticos</t>
        </is>
      </c>
      <c r="J61">
        <f>COUNTIF(A:A, I61)</f>
        <v/>
      </c>
      <c r="K61" t="n">
        <v>1</v>
      </c>
      <c r="L61" t="n">
        <v>7</v>
      </c>
    </row>
    <row r="62">
      <c r="I62" t="inlineStr">
        <is>
          <t>Sistemas  Distribuidos -  B</t>
        </is>
      </c>
      <c r="J62">
        <f>COUNTIF(A:A, I62)</f>
        <v/>
      </c>
      <c r="K62" t="n">
        <v>1</v>
      </c>
      <c r="L62" t="n">
        <v>5</v>
      </c>
    </row>
    <row r="63">
      <c r="I63" t="inlineStr">
        <is>
          <t>Sistemas  Distribuidos - A</t>
        </is>
      </c>
      <c r="J63">
        <f>COUNTIF(A:A, I63)</f>
        <v/>
      </c>
      <c r="K63" t="n">
        <v>1</v>
      </c>
      <c r="L63" t="n">
        <v>5</v>
      </c>
    </row>
    <row r="64">
      <c r="I64" t="inlineStr">
        <is>
          <t>Sistemas Basados en el Conocimiento</t>
        </is>
      </c>
      <c r="J64">
        <f>COUNTIF(A:A, I64)</f>
        <v/>
      </c>
      <c r="K64" t="n">
        <v>2</v>
      </c>
      <c r="L64" t="n">
        <v>5</v>
      </c>
    </row>
    <row r="65">
      <c r="I65" t="inlineStr">
        <is>
          <t>Sistemas de Información - A</t>
        </is>
      </c>
      <c r="J65">
        <f>COUNTIF(A:A, I65)</f>
        <v/>
      </c>
      <c r="K65" t="n">
        <v>2</v>
      </c>
      <c r="L65" t="n">
        <v>5</v>
      </c>
    </row>
    <row r="66">
      <c r="I66" t="inlineStr">
        <is>
          <t>Sistemas de Información - I</t>
        </is>
      </c>
      <c r="J66">
        <f>COUNTIF(A:A, I66)</f>
        <v/>
      </c>
      <c r="K66" t="n">
        <v>2</v>
      </c>
      <c r="L66" t="n">
        <v>5</v>
      </c>
    </row>
    <row r="67">
      <c r="I67" t="inlineStr">
        <is>
          <t>Sistemas Empotrados</t>
        </is>
      </c>
      <c r="J67">
        <f>COUNTIF(A:A, I67)</f>
        <v/>
      </c>
      <c r="K67" t="n">
        <v>1</v>
      </c>
      <c r="L67" t="n">
        <v>5</v>
      </c>
    </row>
    <row r="68">
      <c r="I68" t="inlineStr">
        <is>
          <t>Sistemas Inteligentes - A</t>
        </is>
      </c>
      <c r="J68">
        <f>COUNTIF(A:A, I68)</f>
        <v/>
      </c>
      <c r="K68" t="n">
        <v>1</v>
      </c>
      <c r="L68" t="n">
        <v>5</v>
      </c>
    </row>
    <row r="69">
      <c r="I69" t="inlineStr">
        <is>
          <t>Sistemas Inteligentes - I</t>
        </is>
      </c>
      <c r="J69">
        <f>COUNTIF(A:A, I69)</f>
        <v/>
      </c>
      <c r="K69" s="3" t="n">
        <v>1</v>
      </c>
      <c r="L69" t="n">
        <v>5</v>
      </c>
    </row>
    <row r="70">
      <c r="I70" t="inlineStr">
        <is>
          <t>Sistemas Multiagentes</t>
        </is>
      </c>
      <c r="J70">
        <f>COUNTIF(A:A, I70)</f>
        <v/>
      </c>
      <c r="K70" t="n">
        <v>1</v>
      </c>
      <c r="L70" t="n">
        <v>5</v>
      </c>
    </row>
    <row r="71">
      <c r="I71" t="inlineStr">
        <is>
          <t>Sistemas Operativos I - A</t>
        </is>
      </c>
      <c r="J71">
        <f>COUNTIF(A:A, I71)</f>
        <v/>
      </c>
      <c r="K71" t="n">
        <v>1</v>
      </c>
      <c r="L71" t="n">
        <v>5</v>
      </c>
    </row>
    <row r="72">
      <c r="I72" t="inlineStr">
        <is>
          <t>Sistemas Operativos II</t>
        </is>
      </c>
      <c r="J72">
        <f>COUNTIF(A:A, I72)</f>
        <v/>
      </c>
      <c r="K72" t="n">
        <v>2</v>
      </c>
      <c r="L72" t="n">
        <v>5</v>
      </c>
    </row>
    <row r="73">
      <c r="I73" t="inlineStr">
        <is>
          <t>Tecnología de Computadores - B</t>
        </is>
      </c>
      <c r="J73">
        <f>COUNTIF(A:A, I73)</f>
        <v/>
      </c>
      <c r="K73" t="n">
        <v>1</v>
      </c>
      <c r="L73" t="n">
        <v>5</v>
      </c>
    </row>
    <row r="74">
      <c r="I74" t="inlineStr">
        <is>
          <t>Tecnologías y sistemas web</t>
        </is>
      </c>
      <c r="J74">
        <f>COUNTIF(A:A, I74)</f>
        <v/>
      </c>
      <c r="K74" t="n">
        <v>1</v>
      </c>
      <c r="L74" t="n">
        <v>5</v>
      </c>
    </row>
    <row r="75">
      <c r="I75" t="inlineStr">
        <is>
          <t>Teoría de Autómatas y Computación</t>
        </is>
      </c>
      <c r="J75">
        <f>COUNTIF(A:A, I75)</f>
        <v/>
      </c>
      <c r="K75" t="n">
        <v>2</v>
      </c>
      <c r="L75" t="n">
        <v>5</v>
      </c>
    </row>
    <row r="76">
      <c r="I76" t="inlineStr">
        <is>
          <t>Videojuegos y Realidad Virtual</t>
        </is>
      </c>
      <c r="J76">
        <f>COUNTIF(A:A, I76)</f>
        <v/>
      </c>
      <c r="K76" t="n">
        <v>2</v>
      </c>
      <c r="L76" t="n">
        <v>5</v>
      </c>
    </row>
    <row r="77">
      <c r="I77" t="inlineStr">
        <is>
          <t>Visión artificial y reconocimiento de patrones</t>
        </is>
      </c>
      <c r="J77">
        <f>COUNTIF(A:A, I77)</f>
        <v/>
      </c>
      <c r="K77" t="n">
        <v>1</v>
      </c>
      <c r="L77" t="n">
        <v>5</v>
      </c>
    </row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5" sqref="L5"/>
    </sheetView>
  </sheetViews>
  <sheetFormatPr baseColWidth="10" defaultColWidth="8.88671875" defaultRowHeight="14.4"/>
  <sheetData>
    <row r="1" ht="15" customHeight="1" thickBot="1">
      <c r="A1" s="10" t="inlineStr">
        <is>
          <t>Asignatura</t>
        </is>
      </c>
      <c r="B1" s="10" t="inlineStr">
        <is>
          <t>Estudiante</t>
        </is>
      </c>
      <c r="C1" s="10" t="inlineStr">
        <is>
          <t>Origen</t>
        </is>
      </c>
      <c r="D1" s="10" t="inlineStr">
        <is>
          <t>Universidad Origen</t>
        </is>
      </c>
      <c r="E1" s="10" t="inlineStr">
        <is>
          <t>Cuat</t>
        </is>
      </c>
      <c r="F1" s="10" t="inlineStr">
        <is>
          <t>Firmado</t>
        </is>
      </c>
      <c r="G1" s="10" t="inlineStr">
        <is>
          <t>LA</t>
        </is>
      </c>
      <c r="I1" s="13" t="inlineStr">
        <is>
          <t>Asignaturas</t>
        </is>
      </c>
      <c r="J1" s="14" t="inlineStr">
        <is>
          <t>Matriculados</t>
        </is>
      </c>
      <c r="K1" s="14" t="inlineStr">
        <is>
          <t>Cuatrimestre</t>
        </is>
      </c>
      <c r="L1" s="15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2026-03-25T12:19:49Z</dcterms:modified>
  <cp:lastModifiedBy>MARÍA PICAZO SÁNCHEZ</cp:lastModifiedBy>
</cp:coreProperties>
</file>