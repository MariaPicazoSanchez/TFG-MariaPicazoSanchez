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Coordenadas" sheetId="1" state="visible" r:id="rId1"/>
    <sheet name="2025-2026" sheetId="2" state="visible" r:id="rId2"/>
    <sheet name="Asignaturas" sheetId="3" state="visible" r:id="rId3"/>
    <sheet name="2024-2025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a24" displayName="Tabla24" ref="A1:D77" headerRowCount="1" totalsRowShown="0" headerRowDxfId="4">
  <autoFilter ref="A1:D77"/>
  <sortState ref="A2:D77">
    <sortCondition ref="A1:A77"/>
  </sortState>
  <tableColumns count="4">
    <tableColumn id="1" name="Asignaturas" dataDxfId="3"/>
    <tableColumn id="2" name="Matriculados" dataDxfId="2">
      <calculatedColumnFormula>COUNTIF($A$2:$A$479, A2)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7" workbookViewId="0">
      <selection activeCell="A10" sqref="A10:B10"/>
    </sheetView>
  </sheetViews>
  <sheetFormatPr baseColWidth="10" defaultColWidth="11.44140625" defaultRowHeight="14.4"/>
  <cols>
    <col width="33.44140625" customWidth="1" style="13" min="2" max="2"/>
    <col width="29.6640625" customWidth="1" style="13" min="3" max="3"/>
  </cols>
  <sheetData>
    <row r="1" ht="15" customHeight="1" s="13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</row>
    <row r="2" ht="16.2" customHeight="1" s="13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s="13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s="13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s="13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s="13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s="13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s="13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s="13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s="13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s="13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s="13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s="13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s="13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s="13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s="13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s="13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s="13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s="13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s="13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s="13" thickBot="1">
      <c r="A21" s="5" t="inlineStr">
        <is>
          <t>Turquía</t>
        </is>
      </c>
      <c r="B21" s="5" t="inlineStr">
        <is>
          <t>Faculty of Engineering</t>
        </is>
      </c>
      <c r="C21" s="5" t="inlineStr">
        <is>
          <t>41.0254,28.9470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N10" sqref="N10"/>
    </sheetView>
  </sheetViews>
  <sheetFormatPr baseColWidth="10" defaultColWidth="8.88671875" defaultRowHeight="14.4"/>
  <sheetData>
    <row r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11" t="inlineStr">
        <is>
          <t>LA</t>
        </is>
      </c>
      <c r="H1" s="12" t="n"/>
      <c r="I1" s="11" t="inlineStr">
        <is>
          <t>1</t>
        </is>
      </c>
    </row>
    <row r="2">
      <c r="A2" t="inlineStr">
        <is>
          <t>Diseño Gráfico y Animación</t>
        </is>
      </c>
      <c r="B2" t="inlineStr">
        <is>
          <t>Youseff Prueba</t>
        </is>
      </c>
      <c r="C2" t="inlineStr">
        <is>
          <t>Jordania</t>
        </is>
      </c>
      <c r="D2" t="inlineStr">
        <is>
          <t>HTU</t>
        </is>
      </c>
      <c r="E2" t="n">
        <v>2</v>
      </c>
      <c r="F2" t="inlineStr">
        <is>
          <t>x</t>
        </is>
      </c>
      <c r="I2" t="n">
        <v>2</v>
      </c>
    </row>
    <row r="3">
      <c r="A3" t="inlineStr">
        <is>
          <t>Dispositivos y Redes Inalámbricos</t>
        </is>
      </c>
      <c r="B3" t="inlineStr">
        <is>
          <t>Youseff Prueba</t>
        </is>
      </c>
      <c r="C3" t="inlineStr">
        <is>
          <t>Jordania</t>
        </is>
      </c>
      <c r="D3" t="inlineStr">
        <is>
          <t>HTU</t>
        </is>
      </c>
      <c r="E3" t="n">
        <v>2</v>
      </c>
      <c r="F3" t="inlineStr">
        <is>
          <t>x</t>
        </is>
      </c>
      <c r="I3" t="n">
        <v>3</v>
      </c>
    </row>
    <row r="4">
      <c r="A4" t="inlineStr">
        <is>
          <t>Bases de Datos - I</t>
        </is>
      </c>
      <c r="B4" t="inlineStr">
        <is>
          <t>Andrea Prueba</t>
        </is>
      </c>
      <c r="C4" t="inlineStr">
        <is>
          <t>Italia</t>
        </is>
      </c>
      <c r="D4" t="inlineStr">
        <is>
          <t>Unimore</t>
        </is>
      </c>
      <c r="E4" t="inlineStr">
        <is>
          <t>2</t>
        </is>
      </c>
      <c r="G4" t="inlineStr">
        <is>
          <t>un_enlace.pdf</t>
        </is>
      </c>
      <c r="I4" t="n">
        <v>4</v>
      </c>
    </row>
    <row r="5">
      <c r="A5" t="inlineStr">
        <is>
          <t>Estructura de Computadores - A</t>
        </is>
      </c>
      <c r="B5" t="inlineStr">
        <is>
          <t>Andrea Prueba</t>
        </is>
      </c>
      <c r="C5" t="inlineStr">
        <is>
          <t>Italia</t>
        </is>
      </c>
      <c r="D5" t="inlineStr">
        <is>
          <t>Unimore</t>
        </is>
      </c>
      <c r="E5" t="inlineStr">
        <is>
          <t>2</t>
        </is>
      </c>
      <c r="G5" t="inlineStr">
        <is>
          <t>un_enlace.pdf</t>
        </is>
      </c>
      <c r="I5" t="n">
        <v>5</v>
      </c>
    </row>
    <row r="6">
      <c r="A6" t="inlineStr">
        <is>
          <t>Fundamentos de Programación II - A</t>
        </is>
      </c>
      <c r="B6" t="inlineStr">
        <is>
          <t>Andrea Prueba</t>
        </is>
      </c>
      <c r="C6" t="inlineStr">
        <is>
          <t>Italia</t>
        </is>
      </c>
      <c r="D6" t="inlineStr">
        <is>
          <t>Unimore</t>
        </is>
      </c>
      <c r="E6" t="inlineStr">
        <is>
          <t>2</t>
        </is>
      </c>
      <c r="G6" t="inlineStr">
        <is>
          <t>un_enlace.pdf</t>
        </is>
      </c>
      <c r="I6" t="n">
        <v>6</v>
      </c>
    </row>
    <row r="7">
      <c r="A7" t="inlineStr">
        <is>
          <t>Comercio Electrónico</t>
        </is>
      </c>
      <c r="B7" t="inlineStr">
        <is>
          <t>Berto Prueba</t>
        </is>
      </c>
      <c r="C7" t="inlineStr">
        <is>
          <t>Italia</t>
        </is>
      </c>
      <c r="D7" t="inlineStr">
        <is>
          <t>Unimore</t>
        </is>
      </c>
      <c r="F7" t="inlineStr"/>
      <c r="I7" t="n">
        <v>7</v>
      </c>
    </row>
    <row r="8">
      <c r="A8" t="inlineStr">
        <is>
          <t>Fundamentos Físicos - B</t>
        </is>
      </c>
      <c r="B8" t="inlineStr">
        <is>
          <t>Berto Prueba</t>
        </is>
      </c>
      <c r="C8" t="inlineStr">
        <is>
          <t>Italia</t>
        </is>
      </c>
      <c r="D8" t="inlineStr">
        <is>
          <t>Unimore</t>
        </is>
      </c>
      <c r="F8" t="inlineStr"/>
      <c r="I8" t="n">
        <v>8</v>
      </c>
    </row>
    <row r="9">
      <c r="A9" t="inlineStr">
        <is>
          <t>Fundamentos Físicos - B</t>
        </is>
      </c>
      <c r="B9" t="inlineStr">
        <is>
          <t>Fran Prueba</t>
        </is>
      </c>
      <c r="C9" t="inlineStr">
        <is>
          <t>Jordania</t>
        </is>
      </c>
      <c r="D9" t="inlineStr">
        <is>
          <t>HTU</t>
        </is>
      </c>
      <c r="I9" t="n">
        <v>9</v>
      </c>
    </row>
    <row r="10">
      <c r="A10" t="inlineStr">
        <is>
          <t>Fundamentos Físicos - B</t>
        </is>
      </c>
      <c r="B10" t="inlineStr">
        <is>
          <t>Martha Prueba</t>
        </is>
      </c>
      <c r="C10" t="inlineStr">
        <is>
          <t>Alemania</t>
        </is>
      </c>
      <c r="D10" t="inlineStr">
        <is>
          <t>Bonn-Rhein-Sieg</t>
        </is>
      </c>
      <c r="F10" t="inlineStr">
        <is>
          <t>x</t>
        </is>
      </c>
      <c r="I10" t="n">
        <v>10</v>
      </c>
    </row>
    <row r="11">
      <c r="A11" t="inlineStr">
        <is>
          <t>Fundamentos Físicos - B</t>
        </is>
      </c>
      <c r="B11" t="inlineStr">
        <is>
          <t>Lucia Prueba</t>
        </is>
      </c>
      <c r="C11" t="inlineStr">
        <is>
          <t>Chile</t>
        </is>
      </c>
      <c r="D11" t="inlineStr">
        <is>
          <t>UMAG</t>
        </is>
      </c>
      <c r="I11" t="n">
        <v>11</v>
      </c>
    </row>
    <row r="12">
      <c r="A12" t="inlineStr">
        <is>
          <t>Fundamentos Físicos - B</t>
        </is>
      </c>
      <c r="B12" t="inlineStr">
        <is>
          <t>Lucia Prueba</t>
        </is>
      </c>
      <c r="C12" t="inlineStr">
        <is>
          <t>Chile</t>
        </is>
      </c>
      <c r="D12" t="inlineStr">
        <is>
          <t>Duoc UC - Plaza Norte</t>
        </is>
      </c>
      <c r="I12" t="n">
        <v>12</v>
      </c>
    </row>
    <row r="13">
      <c r="A13" t="inlineStr">
        <is>
          <t>Fundamentos Físicos - B</t>
        </is>
      </c>
      <c r="B13" t="inlineStr">
        <is>
          <t>William Prueba</t>
        </is>
      </c>
      <c r="C13" t="inlineStr">
        <is>
          <t>Colombia</t>
        </is>
      </c>
      <c r="D13" t="inlineStr">
        <is>
          <t>Universidad Libre</t>
        </is>
      </c>
      <c r="I13" t="n">
        <v>13</v>
      </c>
    </row>
    <row r="14">
      <c r="A14" t="inlineStr">
        <is>
          <t>Calidad de los Sistemas SW</t>
        </is>
      </c>
      <c r="B14" t="inlineStr">
        <is>
          <t>Lola Prueba</t>
        </is>
      </c>
      <c r="C14" t="inlineStr">
        <is>
          <t>Francia</t>
        </is>
      </c>
      <c r="D14" t="inlineStr">
        <is>
          <t>ESAIP</t>
        </is>
      </c>
      <c r="E14" t="n">
        <v>2</v>
      </c>
      <c r="F14" t="inlineStr">
        <is>
          <t>x</t>
        </is>
      </c>
      <c r="G14" t="inlineStr">
        <is>
          <t>Petra.pdf</t>
        </is>
      </c>
      <c r="I14" t="n">
        <v>14</v>
      </c>
    </row>
    <row r="15">
      <c r="A15" t="inlineStr">
        <is>
          <t>Diseño de Software</t>
        </is>
      </c>
      <c r="B15" t="inlineStr">
        <is>
          <t>Lola Prueba</t>
        </is>
      </c>
      <c r="C15" t="inlineStr">
        <is>
          <t>Francia</t>
        </is>
      </c>
      <c r="D15" t="inlineStr">
        <is>
          <t>ESAIP</t>
        </is>
      </c>
      <c r="E15" t="inlineStr">
        <is>
          <t>2</t>
        </is>
      </c>
      <c r="F15" t="inlineStr">
        <is>
          <t>x</t>
        </is>
      </c>
      <c r="G15" t="inlineStr">
        <is>
          <t>Petra2.pdf</t>
        </is>
      </c>
      <c r="I15" t="n">
        <v>15</v>
      </c>
    </row>
    <row r="16">
      <c r="A16" t="inlineStr">
        <is>
          <t>fgbvertb</t>
        </is>
      </c>
      <c r="B16" t="inlineStr">
        <is>
          <t>Lola Prueba</t>
        </is>
      </c>
      <c r="C16" t="inlineStr">
        <is>
          <t>Francia</t>
        </is>
      </c>
      <c r="D16" t="inlineStr">
        <is>
          <t>ESAIP</t>
        </is>
      </c>
      <c r="E16" t="inlineStr">
        <is>
          <t>2</t>
        </is>
      </c>
      <c r="F16" t="inlineStr">
        <is>
          <t>x</t>
        </is>
      </c>
      <c r="G16" t="inlineStr">
        <is>
          <t>Petra2.pdf</t>
        </is>
      </c>
      <c r="I16" t="n">
        <v>16</v>
      </c>
    </row>
    <row r="17">
      <c r="A17" t="inlineStr">
        <is>
          <t>Fundamentos Físicos - I</t>
        </is>
      </c>
      <c r="B17" t="inlineStr">
        <is>
          <t>Martha Prueba</t>
        </is>
      </c>
      <c r="C17" t="inlineStr">
        <is>
          <t>Alemania</t>
        </is>
      </c>
      <c r="D17" t="inlineStr">
        <is>
          <t>Bonn-Rhein-Sieg</t>
        </is>
      </c>
      <c r="F17" t="inlineStr">
        <is>
          <t>x</t>
        </is>
      </c>
      <c r="I17" t="n">
        <v>17</v>
      </c>
    </row>
    <row r="18">
      <c r="A18" t="inlineStr">
        <is>
          <t>Cálculo y Métodos Numéricos - I</t>
        </is>
      </c>
      <c r="B18" t="inlineStr">
        <is>
          <t>Berto Prueba</t>
        </is>
      </c>
      <c r="C18" t="inlineStr">
        <is>
          <t>Italia</t>
        </is>
      </c>
      <c r="D18" t="inlineStr">
        <is>
          <t>Unimore</t>
        </is>
      </c>
      <c r="F18" t="inlineStr"/>
      <c r="I18" t="n">
        <v>18</v>
      </c>
    </row>
    <row r="19">
      <c r="I19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24" sqref="A24"/>
    </sheetView>
  </sheetViews>
  <sheetFormatPr baseColWidth="10" defaultRowHeight="14.4"/>
  <cols>
    <col width="38.33203125" bestFit="1" customWidth="1" style="13" min="1" max="1"/>
    <col width="16.44140625" bestFit="1" customWidth="1" style="13" min="2" max="2"/>
    <col width="16.21875" bestFit="1" customWidth="1" style="13" min="3" max="3"/>
    <col width="9.88671875" bestFit="1" customWidth="1" style="13" min="4" max="4"/>
  </cols>
  <sheetData>
    <row r="1">
      <c r="A1" s="1" t="inlineStr">
        <is>
          <t>Asignaturas</t>
        </is>
      </c>
      <c r="B1" s="1" t="inlineStr">
        <is>
          <t>Matriculados</t>
        </is>
      </c>
      <c r="C1" s="1" t="inlineStr">
        <is>
          <t>Cuatrimestre</t>
        </is>
      </c>
      <c r="D1" s="1" t="inlineStr">
        <is>
          <t>Cupo</t>
        </is>
      </c>
    </row>
    <row r="2">
      <c r="A2" t="inlineStr">
        <is>
          <t xml:space="preserve">(MUII) Gestión de Auditoría y Seguridad </t>
        </is>
      </c>
      <c r="B2">
        <f>COUNTIF($A$2:$A$479, A2)</f>
        <v/>
      </c>
      <c r="C2" t="n">
        <v>1</v>
      </c>
      <c r="D2" t="n">
        <v>5</v>
      </c>
    </row>
    <row r="3">
      <c r="A3" t="inlineStr">
        <is>
          <t>(MUII) Sistemas y Servicios en la Nube</t>
        </is>
      </c>
      <c r="B3">
        <f>COUNTIF($A$2:$A$479, A3)</f>
        <v/>
      </c>
      <c r="C3" t="n">
        <v>1</v>
      </c>
      <c r="D3" t="n">
        <v>5</v>
      </c>
    </row>
    <row r="4">
      <c r="A4" t="inlineStr">
        <is>
          <t>Aceleradores Gráficos</t>
        </is>
      </c>
      <c r="B4">
        <f>COUNTIF($A$2:$A$479, A4)</f>
        <v/>
      </c>
      <c r="C4" t="n">
        <v>2</v>
      </c>
      <c r="D4" t="n">
        <v>5</v>
      </c>
    </row>
    <row r="5">
      <c r="A5" t="inlineStr">
        <is>
          <t>Álgebra</t>
        </is>
      </c>
      <c r="B5">
        <f>COUNTIF($A$2:$A$479, A5)</f>
        <v/>
      </c>
      <c r="C5" t="n">
        <v>2</v>
      </c>
      <c r="D5" t="n">
        <v>5</v>
      </c>
    </row>
    <row r="6">
      <c r="A6" t="inlineStr">
        <is>
          <t>Álgebra y Matemática Discreta - A</t>
        </is>
      </c>
      <c r="B6">
        <f>COUNTIF($A$2:$A$479, A6)</f>
        <v/>
      </c>
      <c r="C6" t="n">
        <v>2</v>
      </c>
      <c r="D6" t="n">
        <v>5</v>
      </c>
    </row>
    <row r="7">
      <c r="A7" t="inlineStr">
        <is>
          <t>Álgebra y Matemática Discreta - I</t>
        </is>
      </c>
      <c r="B7">
        <f>COUNTIF($A$2:$A$479, A7)</f>
        <v/>
      </c>
      <c r="C7" t="n">
        <v>2</v>
      </c>
      <c r="D7" t="n">
        <v>5</v>
      </c>
    </row>
    <row r="8">
      <c r="A8" t="inlineStr">
        <is>
          <t>Arquitectura de Computadores - I</t>
        </is>
      </c>
      <c r="B8">
        <f>COUNTIF($A$2:$A$479, A8)</f>
        <v/>
      </c>
      <c r="C8" t="n">
        <v>1</v>
      </c>
      <c r="D8" t="n">
        <v>5</v>
      </c>
    </row>
    <row r="9">
      <c r="A9" t="inlineStr">
        <is>
          <t>Auditoría Sistemas Información</t>
        </is>
      </c>
      <c r="B9">
        <f>COUNTIF($A$2:$A$479, A9)</f>
        <v/>
      </c>
      <c r="C9" t="n">
        <v>1</v>
      </c>
      <c r="D9" t="n">
        <v>5</v>
      </c>
    </row>
    <row r="10">
      <c r="A10" t="inlineStr">
        <is>
          <t>Bases de Datos - A</t>
        </is>
      </c>
      <c r="B10">
        <f>COUNTIF($A$2:$A$479, A10)</f>
        <v/>
      </c>
      <c r="C10" t="n">
        <v>2</v>
      </c>
      <c r="D10" t="n">
        <v>5</v>
      </c>
    </row>
    <row r="11">
      <c r="A11" t="inlineStr">
        <is>
          <t>Bases de Datos - I</t>
        </is>
      </c>
      <c r="B11">
        <f>COUNTIF($A$2:$A$479, A11)</f>
        <v/>
      </c>
      <c r="C11" t="n">
        <v>2</v>
      </c>
      <c r="D11" t="n">
        <v>5</v>
      </c>
    </row>
    <row r="12">
      <c r="A12" t="inlineStr">
        <is>
          <t>Cálculo y Métodos Numéricos - I</t>
        </is>
      </c>
      <c r="B12">
        <f>COUNTIF($A$2:$A$479, A12)</f>
        <v/>
      </c>
      <c r="C12" t="n">
        <v>1</v>
      </c>
      <c r="D12" t="n">
        <v>5</v>
      </c>
    </row>
    <row r="13">
      <c r="A13" t="inlineStr">
        <is>
          <t>Calidad de los Sistemas SW</t>
        </is>
      </c>
      <c r="B13">
        <f>COUNTIF($A$2:$A$479, A13)</f>
        <v/>
      </c>
      <c r="C13" t="n">
        <v>1</v>
      </c>
      <c r="D13" t="n">
        <v>5</v>
      </c>
    </row>
    <row r="14">
      <c r="A14" t="inlineStr">
        <is>
          <t>Comercio Electrónico</t>
        </is>
      </c>
      <c r="B14">
        <f>COUNTIF($A$2:$A$479, A14)</f>
        <v/>
      </c>
      <c r="C14" t="n">
        <v>1</v>
      </c>
      <c r="D14" t="n">
        <v>5</v>
      </c>
    </row>
    <row r="15">
      <c r="A15" t="inlineStr">
        <is>
          <t>Criptografía</t>
        </is>
      </c>
      <c r="B15">
        <f>COUNTIF($A$2:$A$479, A15)</f>
        <v/>
      </c>
      <c r="C15" t="n">
        <v>2</v>
      </c>
      <c r="D15" t="n">
        <v>5</v>
      </c>
    </row>
    <row r="16">
      <c r="A16" t="inlineStr">
        <is>
          <t>Diseño de Sistemas Interactivos</t>
        </is>
      </c>
      <c r="B16">
        <f>COUNTIF($A$2:$A$479, A16)</f>
        <v/>
      </c>
      <c r="C16" t="n">
        <v>1</v>
      </c>
      <c r="D16" t="n">
        <v>5</v>
      </c>
    </row>
    <row r="17">
      <c r="A17" t="inlineStr">
        <is>
          <t>Diseño de Software</t>
        </is>
      </c>
      <c r="B17">
        <f>COUNTIF($A$2:$A$479, A17)</f>
        <v/>
      </c>
      <c r="C17" t="n">
        <v>2</v>
      </c>
      <c r="D17" t="n">
        <v>5</v>
      </c>
    </row>
    <row r="18">
      <c r="A18" t="inlineStr">
        <is>
          <t>Diseño Gráfico y Animación</t>
        </is>
      </c>
      <c r="B18">
        <f>COUNTIF($A$2:$A$479, A18)</f>
        <v/>
      </c>
      <c r="C18" t="n">
        <v>2</v>
      </c>
      <c r="D18" t="n">
        <v>5</v>
      </c>
    </row>
    <row r="19">
      <c r="A19" t="inlineStr">
        <is>
          <t>Dispositivos y Redes Inalámbricos</t>
        </is>
      </c>
      <c r="B19">
        <f>COUNTIF($A$2:$A$479, A19)</f>
        <v/>
      </c>
      <c r="C19" t="n">
        <v>2</v>
      </c>
      <c r="D19" t="n">
        <v>5</v>
      </c>
    </row>
    <row r="20">
      <c r="A20" t="inlineStr">
        <is>
          <t>Estadística - I</t>
        </is>
      </c>
      <c r="B20">
        <f>COUNTIF($A$2:$A$479, A20)</f>
        <v/>
      </c>
      <c r="C20" t="n">
        <v>2</v>
      </c>
      <c r="D20" t="n">
        <v>5</v>
      </c>
    </row>
    <row r="21">
      <c r="A21" t="inlineStr">
        <is>
          <t>Estructura de Computadores - A</t>
        </is>
      </c>
      <c r="B21">
        <f>COUNTIF($A$2:$A$479, A21)</f>
        <v/>
      </c>
      <c r="C21" t="n">
        <v>2</v>
      </c>
      <c r="D21" t="n">
        <v>5</v>
      </c>
    </row>
    <row r="22">
      <c r="A22" t="inlineStr">
        <is>
          <t>Estructura de Computadores - I</t>
        </is>
      </c>
      <c r="B22">
        <f>COUNTIF($A$2:$A$479, A22)</f>
        <v/>
      </c>
      <c r="C22" t="n">
        <v>2</v>
      </c>
      <c r="D22" t="n">
        <v>5</v>
      </c>
    </row>
    <row r="23">
      <c r="A23" t="inlineStr">
        <is>
          <t>Estructura de Datos - A</t>
        </is>
      </c>
      <c r="B23">
        <f>COUNTIF($A$2:$A$479, A23)</f>
        <v/>
      </c>
      <c r="C23" t="n">
        <v>1</v>
      </c>
      <c r="D23" t="n">
        <v>5</v>
      </c>
    </row>
    <row r="24">
      <c r="A24" t="inlineStr">
        <is>
          <t>Estructura de Datos - I</t>
        </is>
      </c>
      <c r="B24">
        <f>COUNTIF($A$2:$A$479, A24)</f>
        <v/>
      </c>
      <c r="C24" t="n">
        <v>1</v>
      </c>
      <c r="D24" t="n">
        <v>5</v>
      </c>
    </row>
    <row r="25">
      <c r="A25" t="inlineStr">
        <is>
          <t>Fundamentos de Gestión Empresarial - A</t>
        </is>
      </c>
      <c r="B25">
        <f>COUNTIF($A$2:$A$479, A25)</f>
        <v/>
      </c>
      <c r="C25" t="n">
        <v>1</v>
      </c>
      <c r="D25" t="n">
        <v>5</v>
      </c>
    </row>
    <row r="26">
      <c r="A26" t="inlineStr">
        <is>
          <t>Fundamentos de Gestión Empresarial - B</t>
        </is>
      </c>
      <c r="B26">
        <f>COUNTIF($A$2:$A$479, A26)</f>
        <v/>
      </c>
      <c r="C26" t="n">
        <v>1</v>
      </c>
      <c r="D26" t="n">
        <v>5</v>
      </c>
    </row>
    <row r="27">
      <c r="A27" t="inlineStr">
        <is>
          <t>Fundamentos de Gestión Empresarial - C</t>
        </is>
      </c>
      <c r="B27">
        <f>COUNTIF($A$2:$A$479, A27)</f>
        <v/>
      </c>
      <c r="C27" t="n">
        <v>1</v>
      </c>
      <c r="D27" t="n">
        <v>5</v>
      </c>
    </row>
    <row r="28">
      <c r="A28" t="inlineStr">
        <is>
          <t>Fundamentos de Gestión Empresarial - I</t>
        </is>
      </c>
      <c r="B28">
        <f>COUNTIF($A$2:$A$479, A28)</f>
        <v/>
      </c>
      <c r="C28" t="n">
        <v>1</v>
      </c>
      <c r="D28" t="n">
        <v>5</v>
      </c>
    </row>
    <row r="29">
      <c r="A29" t="inlineStr">
        <is>
          <t>Fundamentos de Programación I - A</t>
        </is>
      </c>
      <c r="B29">
        <f>COUNTIF($A$2:$A$479, A29)</f>
        <v/>
      </c>
      <c r="C29" t="n">
        <v>1</v>
      </c>
      <c r="D29" t="n">
        <v>5</v>
      </c>
    </row>
    <row r="30">
      <c r="A30" t="inlineStr">
        <is>
          <t>Fundamentos de Programación I - I</t>
        </is>
      </c>
      <c r="B30">
        <f>COUNTIF($A$2:$A$479, A30)</f>
        <v/>
      </c>
      <c r="C30" t="n">
        <v>1</v>
      </c>
      <c r="D30" t="n">
        <v>5</v>
      </c>
    </row>
    <row r="31">
      <c r="A31" t="inlineStr">
        <is>
          <t>Fundamentos de Programación II - A</t>
        </is>
      </c>
      <c r="B31">
        <f>COUNTIF($A$2:$A$479, A31)</f>
        <v/>
      </c>
      <c r="C31" t="n">
        <v>2</v>
      </c>
      <c r="D31" t="n">
        <v>5</v>
      </c>
    </row>
    <row r="32">
      <c r="A32" t="inlineStr">
        <is>
          <t>Fundamentos de Programación II - I</t>
        </is>
      </c>
      <c r="B32">
        <f>COUNTIF($A$2:$A$479, A32)</f>
        <v/>
      </c>
      <c r="C32" t="n">
        <v>2</v>
      </c>
      <c r="D32" s="4" t="n">
        <v>7</v>
      </c>
    </row>
    <row r="33">
      <c r="A33" t="inlineStr">
        <is>
          <t>Fundamentos Físicos - B</t>
        </is>
      </c>
      <c r="B33">
        <f>COUNTIF($A$2:$A$479, A33)</f>
        <v/>
      </c>
      <c r="C33" t="n">
        <v>1</v>
      </c>
      <c r="D33" t="n">
        <v>5</v>
      </c>
    </row>
    <row r="34">
      <c r="A34" t="inlineStr">
        <is>
          <t>Fundamentos Físicos - I</t>
        </is>
      </c>
      <c r="B34">
        <f>COUNTIF($A$2:$A$479, A34)</f>
        <v/>
      </c>
      <c r="C34" t="n">
        <v>1</v>
      </c>
      <c r="D34" t="n">
        <v>5</v>
      </c>
    </row>
    <row r="35">
      <c r="A35" t="inlineStr">
        <is>
          <t>Gestión de proyectos software</t>
        </is>
      </c>
      <c r="B35">
        <f>COUNTIF($A$2:$A$479, A35)</f>
        <v/>
      </c>
      <c r="C35" t="n">
        <v>1</v>
      </c>
      <c r="D35" t="n">
        <v>5</v>
      </c>
    </row>
    <row r="36">
      <c r="A36" t="inlineStr">
        <is>
          <t>Gestión de Sistemas de información</t>
        </is>
      </c>
      <c r="B36">
        <f>COUNTIF($A$2:$A$479, A36)</f>
        <v/>
      </c>
      <c r="C36" t="n">
        <v>2</v>
      </c>
      <c r="D36" t="n">
        <v>5</v>
      </c>
    </row>
    <row r="37">
      <c r="A37" t="inlineStr">
        <is>
          <t>Ingeniería del Software I - I</t>
        </is>
      </c>
      <c r="B37">
        <f>COUNTIF($A$2:$A$479, A37)</f>
        <v/>
      </c>
      <c r="C37" t="n">
        <v>1</v>
      </c>
      <c r="D37" s="4" t="n">
        <v>7</v>
      </c>
    </row>
    <row r="38">
      <c r="A38" t="inlineStr">
        <is>
          <t>Ingeniería del Software II - I</t>
        </is>
      </c>
      <c r="B38">
        <f>COUNTIF($A$2:$A$479, A38)</f>
        <v/>
      </c>
      <c r="C38" t="n">
        <v>1</v>
      </c>
      <c r="D38" t="n">
        <v>5</v>
      </c>
    </row>
    <row r="39">
      <c r="A39" t="inlineStr">
        <is>
          <t>Ingeniería Web y de Servicios</t>
        </is>
      </c>
      <c r="B39">
        <f>COUNTIF($A$2:$A$479, A39)</f>
        <v/>
      </c>
      <c r="C39" t="n">
        <v>1</v>
      </c>
      <c r="D39" t="n">
        <v>5</v>
      </c>
    </row>
    <row r="40">
      <c r="A40" t="inlineStr">
        <is>
          <t>Inteligencia Artificial en Videojuegos</t>
        </is>
      </c>
      <c r="B40">
        <f>COUNTIF($A$2:$A$479, A40)</f>
        <v/>
      </c>
      <c r="C40" t="n">
        <v>2</v>
      </c>
      <c r="D40" t="n">
        <v>5</v>
      </c>
    </row>
    <row r="41">
      <c r="A41" t="inlineStr">
        <is>
          <t>Interacción Persona Ordenador I - A</t>
        </is>
      </c>
      <c r="B41">
        <f>COUNTIF($A$2:$A$479, A41)</f>
        <v/>
      </c>
      <c r="C41" t="n">
        <v>1</v>
      </c>
      <c r="D41" t="n">
        <v>5</v>
      </c>
    </row>
    <row r="42">
      <c r="A42" t="inlineStr">
        <is>
          <t>Interacción Persona Ordenador I - B</t>
        </is>
      </c>
      <c r="B42">
        <f>COUNTIF($A$2:$A$479, A42)</f>
        <v/>
      </c>
      <c r="C42" t="n">
        <v>1</v>
      </c>
      <c r="D42" t="n">
        <v>5</v>
      </c>
    </row>
    <row r="43">
      <c r="A43" t="inlineStr">
        <is>
          <t>Interacción Persona Ordenador I - I</t>
        </is>
      </c>
      <c r="B43">
        <f>COUNTIF($A$2:$A$479, A43)</f>
        <v/>
      </c>
      <c r="C43" t="n">
        <v>1</v>
      </c>
      <c r="D43" s="4" t="n">
        <v>7</v>
      </c>
    </row>
    <row r="44">
      <c r="A44" t="inlineStr">
        <is>
          <t>Lógica - B</t>
        </is>
      </c>
      <c r="B44">
        <f>COUNTIF($A$2:$A$479, A44)</f>
        <v/>
      </c>
      <c r="C44" s="2" t="n">
        <v>1</v>
      </c>
      <c r="D44" t="n">
        <v>5</v>
      </c>
    </row>
    <row r="45">
      <c r="A45" t="inlineStr">
        <is>
          <t>Lógica - I</t>
        </is>
      </c>
      <c r="B45">
        <f>COUNTIF($A$2:$A$479, A45)</f>
        <v/>
      </c>
      <c r="C45" s="2" t="n">
        <v>1</v>
      </c>
      <c r="D45" t="n">
        <v>5</v>
      </c>
    </row>
    <row r="46">
      <c r="A46" t="inlineStr">
        <is>
          <t>Metodología de la Programación - A</t>
        </is>
      </c>
      <c r="B46">
        <f>COUNTIF($A$2:$A$479, A46)</f>
        <v/>
      </c>
      <c r="C46" s="2" t="n">
        <v>2</v>
      </c>
      <c r="D46" t="n">
        <v>5</v>
      </c>
    </row>
    <row r="47">
      <c r="A47" t="inlineStr">
        <is>
          <t>Metodología de la Programación - I</t>
        </is>
      </c>
      <c r="B47">
        <f>COUNTIF($A$2:$A$479, A47)</f>
        <v/>
      </c>
      <c r="C47" t="n">
        <v>2</v>
      </c>
      <c r="D47" t="n">
        <v>5</v>
      </c>
    </row>
    <row r="48">
      <c r="A48" t="inlineStr">
        <is>
          <t>Minería de datos</t>
        </is>
      </c>
      <c r="B48">
        <f>COUNTIF($A$2:$A$479, A48)</f>
        <v/>
      </c>
      <c r="C48" t="n">
        <v>1</v>
      </c>
      <c r="D48" t="n">
        <v>5</v>
      </c>
    </row>
    <row r="49">
      <c r="A49" t="inlineStr">
        <is>
          <t>Multimedia</t>
        </is>
      </c>
      <c r="B49">
        <f>COUNTIF($A$2:$A$479, A49)</f>
        <v/>
      </c>
      <c r="C49" t="n">
        <v>1</v>
      </c>
      <c r="D49" t="n">
        <v>5</v>
      </c>
    </row>
    <row r="50">
      <c r="A50" t="inlineStr">
        <is>
          <t>Organización de Computadores - I</t>
        </is>
      </c>
      <c r="B50">
        <f>COUNTIF($A$2:$A$479, A50)</f>
        <v/>
      </c>
      <c r="C50" t="n">
        <v>1</v>
      </c>
      <c r="D50" t="n">
        <v>5</v>
      </c>
    </row>
    <row r="51">
      <c r="A51" t="inlineStr">
        <is>
          <t>Planificación e Integración de Sistemas</t>
        </is>
      </c>
      <c r="B51">
        <f>COUNTIF($A$2:$A$479, A51)</f>
        <v/>
      </c>
      <c r="C51" t="n">
        <v>1</v>
      </c>
      <c r="D51" t="n">
        <v>5</v>
      </c>
    </row>
    <row r="52">
      <c r="A52" t="inlineStr">
        <is>
          <t>Procesadores de Lenguajes</t>
        </is>
      </c>
      <c r="B52">
        <f>COUNTIF($A$2:$A$479, A52)</f>
        <v/>
      </c>
      <c r="C52" t="n">
        <v>1</v>
      </c>
      <c r="D52" t="n">
        <v>5</v>
      </c>
    </row>
    <row r="53">
      <c r="A53" t="inlineStr">
        <is>
          <t>Procesos de Ingeniería del SW</t>
        </is>
      </c>
      <c r="B53">
        <f>COUNTIF($A$2:$A$479, A53)</f>
        <v/>
      </c>
      <c r="C53" t="n">
        <v>1</v>
      </c>
      <c r="D53" t="n">
        <v>5</v>
      </c>
    </row>
    <row r="54">
      <c r="A54" t="inlineStr">
        <is>
          <t>Programación Concurrente y Tiempo Real</t>
        </is>
      </c>
      <c r="B54">
        <f>COUNTIF($A$2:$A$479, A54)</f>
        <v/>
      </c>
      <c r="C54" t="n">
        <v>2</v>
      </c>
      <c r="D54" t="n">
        <v>5</v>
      </c>
    </row>
    <row r="55">
      <c r="A55" t="inlineStr">
        <is>
          <t>Programación Declarativa</t>
        </is>
      </c>
      <c r="B55">
        <f>COUNTIF($A$2:$A$479, A55)</f>
        <v/>
      </c>
      <c r="C55" t="n">
        <v>2</v>
      </c>
      <c r="D55" t="n">
        <v>5</v>
      </c>
    </row>
    <row r="56">
      <c r="A56" t="inlineStr">
        <is>
          <t>Redes de Computadores I - A</t>
        </is>
      </c>
      <c r="B56">
        <f>COUNTIF($A$2:$A$479, A56)</f>
        <v/>
      </c>
      <c r="C56" t="n">
        <v>2</v>
      </c>
      <c r="D56" t="n">
        <v>5</v>
      </c>
    </row>
    <row r="57">
      <c r="A57" t="inlineStr">
        <is>
          <t>Redes de Computadores I - I</t>
        </is>
      </c>
      <c r="B57">
        <f>COUNTIF($A$2:$A$479, A57)</f>
        <v/>
      </c>
      <c r="C57" t="n">
        <v>2</v>
      </c>
      <c r="D57" t="n">
        <v>5</v>
      </c>
    </row>
    <row r="58">
      <c r="A58" t="inlineStr">
        <is>
          <t>Robótica Autónoma</t>
        </is>
      </c>
      <c r="B58">
        <f>COUNTIF($A$2:$A$479, A58)</f>
        <v/>
      </c>
      <c r="C58" t="n">
        <v>2</v>
      </c>
      <c r="D58" t="n">
        <v>5</v>
      </c>
    </row>
    <row r="59">
      <c r="A59" t="inlineStr">
        <is>
          <t>Seguridad de Sistemas Software</t>
        </is>
      </c>
      <c r="B59">
        <f>COUNTIF($A$2:$A$479, A59)</f>
        <v/>
      </c>
      <c r="C59" t="n">
        <v>1</v>
      </c>
      <c r="D59" s="4" t="n">
        <v>7</v>
      </c>
    </row>
    <row r="60">
      <c r="A60" t="inlineStr">
        <is>
          <t>Seguridad en redes</t>
        </is>
      </c>
      <c r="B60">
        <f>COUNTIF($A$2:$A$479, A60)</f>
        <v/>
      </c>
      <c r="C60" t="n">
        <v>1</v>
      </c>
      <c r="D60" t="n">
        <v>7</v>
      </c>
    </row>
    <row r="61">
      <c r="A61" t="inlineStr">
        <is>
          <t>Seguridad en Sistemas Informáticos</t>
        </is>
      </c>
      <c r="B61">
        <f>COUNTIF($A$2:$A$479, A61)</f>
        <v/>
      </c>
      <c r="C61" t="n">
        <v>1</v>
      </c>
      <c r="D61" t="n">
        <v>7</v>
      </c>
    </row>
    <row r="62">
      <c r="A62" t="inlineStr">
        <is>
          <t>Sistemas  Distribuidos -  B</t>
        </is>
      </c>
      <c r="B62">
        <f>COUNTIF($A$2:$A$479, A62)</f>
        <v/>
      </c>
      <c r="C62" t="n">
        <v>1</v>
      </c>
      <c r="D62" t="n">
        <v>5</v>
      </c>
    </row>
    <row r="63">
      <c r="A63" t="inlineStr">
        <is>
          <t>Sistemas  Distribuidos - A</t>
        </is>
      </c>
      <c r="B63">
        <f>COUNTIF($A$2:$A$479, A63)</f>
        <v/>
      </c>
      <c r="C63" t="n">
        <v>1</v>
      </c>
      <c r="D63" t="n">
        <v>5</v>
      </c>
    </row>
    <row r="64">
      <c r="A64" t="inlineStr">
        <is>
          <t>Sistemas Basados en el Conocimiento</t>
        </is>
      </c>
      <c r="B64">
        <f>COUNTIF($A$2:$A$479, A64)</f>
        <v/>
      </c>
      <c r="C64" t="n">
        <v>2</v>
      </c>
      <c r="D64" t="n">
        <v>5</v>
      </c>
    </row>
    <row r="65">
      <c r="A65" t="inlineStr">
        <is>
          <t>Sistemas de Información - A</t>
        </is>
      </c>
      <c r="B65">
        <f>COUNTIF($A$2:$A$479, A65)</f>
        <v/>
      </c>
      <c r="C65" t="n">
        <v>2</v>
      </c>
      <c r="D65" t="n">
        <v>5</v>
      </c>
    </row>
    <row r="66">
      <c r="A66" t="inlineStr">
        <is>
          <t>Sistemas de Información - I</t>
        </is>
      </c>
      <c r="B66">
        <f>COUNTIF($A$2:$A$479, A66)</f>
        <v/>
      </c>
      <c r="C66" t="n">
        <v>2</v>
      </c>
      <c r="D66" t="n">
        <v>5</v>
      </c>
    </row>
    <row r="67">
      <c r="A67" t="inlineStr">
        <is>
          <t>Sistemas Empotrados</t>
        </is>
      </c>
      <c r="B67">
        <f>COUNTIF($A$2:$A$479, A67)</f>
        <v/>
      </c>
      <c r="C67" t="n">
        <v>1</v>
      </c>
      <c r="D67" t="n">
        <v>5</v>
      </c>
    </row>
    <row r="68">
      <c r="A68" t="inlineStr">
        <is>
          <t>Sistemas Inteligentes - A</t>
        </is>
      </c>
      <c r="B68">
        <f>COUNTIF($A$2:$A$479, A68)</f>
        <v/>
      </c>
      <c r="C68" t="n">
        <v>1</v>
      </c>
      <c r="D68" t="n">
        <v>5</v>
      </c>
    </row>
    <row r="69">
      <c r="A69" t="inlineStr">
        <is>
          <t>Sistemas Inteligentes - I</t>
        </is>
      </c>
      <c r="B69">
        <f>COUNTIF($A$2:$A$479, A69)</f>
        <v/>
      </c>
      <c r="C69" s="3" t="n">
        <v>1</v>
      </c>
      <c r="D69" t="n">
        <v>5</v>
      </c>
    </row>
    <row r="70">
      <c r="A70" t="inlineStr">
        <is>
          <t>Sistemas Multiagentes</t>
        </is>
      </c>
      <c r="B70">
        <f>COUNTIF($A$2:$A$479, A70)</f>
        <v/>
      </c>
      <c r="C70" t="n">
        <v>1</v>
      </c>
      <c r="D70" t="n">
        <v>5</v>
      </c>
    </row>
    <row r="71">
      <c r="A71" t="inlineStr">
        <is>
          <t>Sistemas Operativos I - A</t>
        </is>
      </c>
      <c r="B71">
        <f>COUNTIF($A$2:$A$479, A71)</f>
        <v/>
      </c>
      <c r="C71" t="n">
        <v>1</v>
      </c>
      <c r="D71" t="n">
        <v>5</v>
      </c>
    </row>
    <row r="72">
      <c r="A72" t="inlineStr">
        <is>
          <t>Sistemas Operativos II</t>
        </is>
      </c>
      <c r="B72">
        <f>COUNTIF($A$2:$A$479, A72)</f>
        <v/>
      </c>
      <c r="C72" t="n">
        <v>2</v>
      </c>
      <c r="D72" t="n">
        <v>5</v>
      </c>
    </row>
    <row r="73">
      <c r="A73" t="inlineStr">
        <is>
          <t>Tecnología de Computadores - B</t>
        </is>
      </c>
      <c r="B73">
        <f>COUNTIF($A$2:$A$479, A73)</f>
        <v/>
      </c>
      <c r="C73" t="n">
        <v>1</v>
      </c>
      <c r="D73" t="n">
        <v>5</v>
      </c>
    </row>
    <row r="74">
      <c r="A74" t="inlineStr">
        <is>
          <t>Tecnologías y sistemas web</t>
        </is>
      </c>
      <c r="B74">
        <f>COUNTIF($A$2:$A$479, A74)</f>
        <v/>
      </c>
      <c r="C74" t="n">
        <v>1</v>
      </c>
      <c r="D74" t="n">
        <v>5</v>
      </c>
    </row>
    <row r="75">
      <c r="A75" t="inlineStr">
        <is>
          <t>Teoría de Autómatas y Computación</t>
        </is>
      </c>
      <c r="B75">
        <f>COUNTIF($A$2:$A$479, A75)</f>
        <v/>
      </c>
      <c r="C75" t="n">
        <v>2</v>
      </c>
      <c r="D75" t="n">
        <v>5</v>
      </c>
    </row>
    <row r="76">
      <c r="A76" t="inlineStr">
        <is>
          <t>Videojuegos y Realidad Virtual</t>
        </is>
      </c>
      <c r="B76">
        <f>COUNTIF($A$2:$A$479, A76)</f>
        <v/>
      </c>
      <c r="C76" t="n">
        <v>2</v>
      </c>
      <c r="D76" t="n">
        <v>5</v>
      </c>
    </row>
    <row r="77">
      <c r="A77" t="inlineStr">
        <is>
          <t>Visión artificial y reconocimiento de patrones</t>
        </is>
      </c>
      <c r="B77">
        <f>COUNTIF($A$2:$A$479, A77)</f>
        <v/>
      </c>
      <c r="C77" t="n">
        <v>1</v>
      </c>
      <c r="D77" t="n">
        <v>5</v>
      </c>
    </row>
  </sheetData>
  <conditionalFormatting sqref="B2:B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tabSelected="1" workbookViewId="0">
      <selection activeCell="B3" sqref="B3"/>
    </sheetView>
  </sheetViews>
  <sheetFormatPr baseColWidth="10" defaultColWidth="8.88671875" defaultRowHeight="14.4"/>
  <sheetData>
    <row r="1" ht="15" customHeight="1" s="13" thickBot="1">
      <c r="A1" s="10" t="inlineStr">
        <is>
          <t>Asignatura</t>
        </is>
      </c>
      <c r="B1" s="10" t="inlineStr">
        <is>
          <t>Estudiante</t>
        </is>
      </c>
      <c r="C1" s="10" t="inlineStr">
        <is>
          <t>Origen</t>
        </is>
      </c>
      <c r="D1" s="10" t="inlineStr">
        <is>
          <t>Universidad Origen</t>
        </is>
      </c>
      <c r="E1" s="10" t="inlineStr">
        <is>
          <t>Cuat</t>
        </is>
      </c>
      <c r="F1" s="10" t="inlineStr">
        <is>
          <t>Firmado</t>
        </is>
      </c>
      <c r="G1" s="10" t="inlineStr">
        <is>
          <t>LA</t>
        </is>
      </c>
    </row>
    <row r="2" ht="28.2" customHeight="1" s="13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2026-03-05T16:08:33Z</dcterms:modified>
  <cp:lastModifiedBy>MARÍA PICAZO SÁNCHEZ</cp:lastModifiedBy>
</cp:coreProperties>
</file>