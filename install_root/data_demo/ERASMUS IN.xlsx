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a\Documents\GitHub\TFG-MariaPicazoSanchez\install_root\data_demo\"/>
    </mc:Choice>
  </mc:AlternateContent>
  <xr:revisionPtr revIDLastSave="0" documentId="13_ncr:1_{542E5FAD-5C91-481C-BD48-C223BD08D4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ordenadas" sheetId="1" r:id="rId1"/>
    <sheet name="2025-2026" sheetId="2" r:id="rId2"/>
    <sheet name="Hoja1" sheetId="4" r:id="rId3"/>
    <sheet name="2024-2025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<sst xmlns="http://schemas.openxmlformats.org/spreadsheetml/2006/main" count="494" uniqueCount="216">
  <si>
    <t>Jordania</t>
  </si>
  <si>
    <t>HTU</t>
  </si>
  <si>
    <t>31.9800,35.8540</t>
  </si>
  <si>
    <t>Alemania</t>
  </si>
  <si>
    <t>Bonn-Rhein-Sieg</t>
  </si>
  <si>
    <t>50.78108, 7.18062</t>
  </si>
  <si>
    <t>Chile</t>
  </si>
  <si>
    <t>UMAG</t>
  </si>
  <si>
    <t>-53.1441,-70.9306</t>
  </si>
  <si>
    <t>Duoc UC - Plaza Norte</t>
  </si>
  <si>
    <t>-33.3661, -70.6787</t>
  </si>
  <si>
    <t>Colombia</t>
  </si>
  <si>
    <t>Universidad Libre</t>
  </si>
  <si>
    <t>4.6127,-74.0705</t>
  </si>
  <si>
    <t>Francia</t>
  </si>
  <si>
    <t>ESAIP</t>
  </si>
  <si>
    <t>47.4700,-0.5040</t>
  </si>
  <si>
    <t>Georgia</t>
  </si>
  <si>
    <t>Business and Technology University</t>
  </si>
  <si>
    <t>41.7150,44.7800</t>
  </si>
  <si>
    <t>Italia</t>
  </si>
  <si>
    <t>Unimore</t>
  </si>
  <si>
    <t>44.6450,10.9250</t>
  </si>
  <si>
    <t>Udine</t>
  </si>
  <si>
    <t>46.0635,13.2372</t>
  </si>
  <si>
    <t>Pol. Milan</t>
  </si>
  <si>
    <t>45.4781,9.2284</t>
  </si>
  <si>
    <t>Degli Studi di Sassari</t>
  </si>
  <si>
    <t>40.7242,8.5600</t>
  </si>
  <si>
    <t>University of Petra</t>
  </si>
  <si>
    <t>31.7326,35.8299</t>
  </si>
  <si>
    <t>Yarmouk University</t>
  </si>
  <si>
    <t>32.4833,36.0000</t>
  </si>
  <si>
    <t>Amman Arab University</t>
  </si>
  <si>
    <t>32.0072,35.9068</t>
  </si>
  <si>
    <t>Letonia</t>
  </si>
  <si>
    <t>Faculty of Eng. and IT</t>
  </si>
  <si>
    <t>56.6510,23.7210</t>
  </si>
  <si>
    <t>Life Sciences and Tech</t>
  </si>
  <si>
    <t>México</t>
  </si>
  <si>
    <t>TEC</t>
  </si>
  <si>
    <t>25.6541,-100.2766</t>
  </si>
  <si>
    <t>Chiapas</t>
  </si>
  <si>
    <t>16.7516,-93.1160</t>
  </si>
  <si>
    <t>UA Zacatecas</t>
  </si>
  <si>
    <t>22.7709,-102.5832</t>
  </si>
  <si>
    <t>Nuevo León</t>
  </si>
  <si>
    <t>25.7246,-100.3114</t>
  </si>
  <si>
    <t>Turquía</t>
  </si>
  <si>
    <t>Faculty of Engineering</t>
  </si>
  <si>
    <t>41.1052, 29.0250</t>
  </si>
  <si>
    <t>Kadir Has University</t>
  </si>
  <si>
    <t>41.0254,28.9470</t>
  </si>
  <si>
    <t>Asignatura</t>
  </si>
  <si>
    <t>Estudiante</t>
  </si>
  <si>
    <t>Origen</t>
  </si>
  <si>
    <t>Universidad Origen</t>
  </si>
  <si>
    <t>Cuat</t>
  </si>
  <si>
    <t>Firmado</t>
  </si>
  <si>
    <t>LA</t>
  </si>
  <si>
    <t>Asignaturas</t>
  </si>
  <si>
    <t>Matriculados</t>
  </si>
  <si>
    <t>Cuatrimestre</t>
  </si>
  <si>
    <t>Cupo</t>
  </si>
  <si>
    <t>Diseño Gráfico y Animación</t>
  </si>
  <si>
    <t>Alumno HTU 1/2</t>
  </si>
  <si>
    <t>x</t>
  </si>
  <si>
    <t xml:space="preserve">(MUII) Gestión de Auditoría y Seguridad </t>
  </si>
  <si>
    <t>Dispositivos y Redes Inalámbricos</t>
  </si>
  <si>
    <t>(MUII) Sistemas y Servicios en la Nube</t>
  </si>
  <si>
    <t>Fundamentos Físicos - B</t>
  </si>
  <si>
    <t>Alumno HTU 2/2</t>
  </si>
  <si>
    <t>2</t>
  </si>
  <si>
    <t>un_enlace.pdf</t>
  </si>
  <si>
    <t>Aceleradores Gráficos</t>
  </si>
  <si>
    <t>Bases de Datos - I</t>
  </si>
  <si>
    <t>Alumno Unimore 1/9</t>
  </si>
  <si>
    <t>Álgebra</t>
  </si>
  <si>
    <t>Estructura de Computadores - A</t>
  </si>
  <si>
    <t>Alumno Unimore 2/9</t>
  </si>
  <si>
    <t>Álgebra y Matemática Discreta - A</t>
  </si>
  <si>
    <t>Fundamentos de Programación II - A</t>
  </si>
  <si>
    <t>Alumno Unimore 3/9</t>
  </si>
  <si>
    <t>Álgebra y Matemática Discreta - I</t>
  </si>
  <si>
    <t>Comercio Electrónico</t>
  </si>
  <si>
    <t>Alumno Unimore 4/9</t>
  </si>
  <si>
    <t>Arquitectura de Computadores - I</t>
  </si>
  <si>
    <t>Alumno Unimore 5/9</t>
  </si>
  <si>
    <t>Auditoría Sistemas Información</t>
  </si>
  <si>
    <t>Cálculo y Métodos Numéricos - I</t>
  </si>
  <si>
    <t>Alumno Unimore 6/9</t>
  </si>
  <si>
    <t>Bases de Datos - A</t>
  </si>
  <si>
    <t>Alumno Unimore 7/9</t>
  </si>
  <si>
    <t>Alumno Unimore 8/9</t>
  </si>
  <si>
    <t>Gestión de proyectos software</t>
  </si>
  <si>
    <t>Alumno Unimore 9/9</t>
  </si>
  <si>
    <t>Petra.pdf</t>
  </si>
  <si>
    <t>Calidad de los Sistemas SW</t>
  </si>
  <si>
    <t>Petra2.pdf</t>
  </si>
  <si>
    <t>Alumno Bonn-Rhein-Sieg 1/2</t>
  </si>
  <si>
    <t>Criptografía</t>
  </si>
  <si>
    <t>Fundamentos Físicos - I</t>
  </si>
  <si>
    <t>Alumno Bonn-Rhein-Sieg 2/2</t>
  </si>
  <si>
    <t>Diseño de Sistemas Interactivos</t>
  </si>
  <si>
    <t>Diseño de Software</t>
  </si>
  <si>
    <t>Alumno UMAG 1/1</t>
  </si>
  <si>
    <t>C:UsersmariaDownloadsOSSRequestForm-v4.xlsx</t>
  </si>
  <si>
    <t>Alumno Duoc 1/1</t>
  </si>
  <si>
    <t>Alumno Universidad Libre 1/1</t>
  </si>
  <si>
    <t>Estadística - I</t>
  </si>
  <si>
    <t>Alumno ESAIP 1/3</t>
  </si>
  <si>
    <t>Estructura de Computadores - I</t>
  </si>
  <si>
    <t>Alumno ESAIP 2/3</t>
  </si>
  <si>
    <t>Estructura de Datos - A</t>
  </si>
  <si>
    <t>fgbvertb</t>
  </si>
  <si>
    <t>Alumno ESAIP 3/3</t>
  </si>
  <si>
    <t>Estructura de Datos - I</t>
  </si>
  <si>
    <t>Fundamentos de Gestión Empresarial - A</t>
  </si>
  <si>
    <t>Estancia Investigación</t>
  </si>
  <si>
    <t>Alumno Business 1/4</t>
  </si>
  <si>
    <t>Fundamentos de Gestión Empresarial - B</t>
  </si>
  <si>
    <t>(MUII) Gestión de Auditoría y Seguridad</t>
  </si>
  <si>
    <t>Alumno Business 2/4</t>
  </si>
  <si>
    <t>Fundamentos de Gestión Empresarial - C</t>
  </si>
  <si>
    <t>Alumno Business 3/4</t>
  </si>
  <si>
    <t>Fundamentos de Gestión Empresarial - I</t>
  </si>
  <si>
    <t>Organización de Computadores - I</t>
  </si>
  <si>
    <t>Alumno Business 4/4</t>
  </si>
  <si>
    <t>Fundamentos de Programación I - A</t>
  </si>
  <si>
    <t>Fundamentos de Programación I - I</t>
  </si>
  <si>
    <t>Alumno Udine 1/2</t>
  </si>
  <si>
    <t>Alumno Udine 2/2</t>
  </si>
  <si>
    <t>Fundamentos de Programación II - I</t>
  </si>
  <si>
    <t>Gestión de Sistemas de información</t>
  </si>
  <si>
    <t>Procesadores de Lenguajes</t>
  </si>
  <si>
    <t>Alumno Pol. Milan 1/3</t>
  </si>
  <si>
    <t>Alumno Pol. Milan 2/3</t>
  </si>
  <si>
    <t>Ingeniería del Software I - I</t>
  </si>
  <si>
    <t>Alumno Pol. Milan 3/3</t>
  </si>
  <si>
    <t>Ingeniería del Software II - I</t>
  </si>
  <si>
    <t>Procesos de Ingeniería del SW</t>
  </si>
  <si>
    <t>Ingeniería Web y de Servicios</t>
  </si>
  <si>
    <t>Inteligencia Artificial en Videojuegos</t>
  </si>
  <si>
    <t>Alumno Sassari 1/2</t>
  </si>
  <si>
    <t>Interacción Persona Ordenador I - A</t>
  </si>
  <si>
    <t>Alumno Sassari 2/2</t>
  </si>
  <si>
    <t>Interacción Persona Ordenador I - B</t>
  </si>
  <si>
    <t>Interacción Persona Ordenador I - I</t>
  </si>
  <si>
    <t>Programación Concurrente y Tiempo Real</t>
  </si>
  <si>
    <t>Lógica - B</t>
  </si>
  <si>
    <t>Lógica - I</t>
  </si>
  <si>
    <t>Alumno Petra 1/3</t>
  </si>
  <si>
    <t>Metodología de la Programación - A</t>
  </si>
  <si>
    <t>Alumno Petra 2/3</t>
  </si>
  <si>
    <t>Metodología de la Programación - I</t>
  </si>
  <si>
    <t>Alumno Petra 3/3</t>
  </si>
  <si>
    <t>Minería de datos</t>
  </si>
  <si>
    <t>Programación Declarativa</t>
  </si>
  <si>
    <t>Multimedia</t>
  </si>
  <si>
    <t>Alumno Yarmouk 1/2</t>
  </si>
  <si>
    <t>Planificación e Integración de Sistemas</t>
  </si>
  <si>
    <t>Alumno Yarmouk 2/2</t>
  </si>
  <si>
    <t>Redes de Computadores I - A</t>
  </si>
  <si>
    <t>Alumno Amman 1/2</t>
  </si>
  <si>
    <t>Alumno Amman 2/2</t>
  </si>
  <si>
    <t>Redes de Computadores I - I</t>
  </si>
  <si>
    <t>Robótica Autónoma</t>
  </si>
  <si>
    <t>Seguridad de Sistemas Software</t>
  </si>
  <si>
    <t>Seguridad en redes</t>
  </si>
  <si>
    <t>Alumno LatviaEng 1/3</t>
  </si>
  <si>
    <t>Seguridad en Sistemas Informáticos</t>
  </si>
  <si>
    <t>Alumno LatviaEng 2/3</t>
  </si>
  <si>
    <t>Sistemas  Distribuidos -  B</t>
  </si>
  <si>
    <t>Alumno LatviaEng 3/3</t>
  </si>
  <si>
    <t>Sistemas  Distribuidos - A</t>
  </si>
  <si>
    <t>Sistemas Basados en el Conocimiento</t>
  </si>
  <si>
    <t>Alumno LatviaLife 1/3</t>
  </si>
  <si>
    <t>Sistemas de Información - A</t>
  </si>
  <si>
    <t>Alumno LatviaLife 2/3</t>
  </si>
  <si>
    <t>Sistemas de Información - I</t>
  </si>
  <si>
    <t>Alumno LatviaLife 3/3</t>
  </si>
  <si>
    <t>Sistemas Empotrados</t>
  </si>
  <si>
    <t>Sistemas Inteligentes - A</t>
  </si>
  <si>
    <t>Alumno TEC 1/3</t>
  </si>
  <si>
    <t>Sistemas Inteligentes - I</t>
  </si>
  <si>
    <t>Alumno TEC 2/3</t>
  </si>
  <si>
    <t>Sistemas Multiagentes</t>
  </si>
  <si>
    <t>Alumno TEC 3/3</t>
  </si>
  <si>
    <t>Sistemas Operativos I - A</t>
  </si>
  <si>
    <t>Sistemas Operativos II</t>
  </si>
  <si>
    <t>Alumno Chiapas 1/2</t>
  </si>
  <si>
    <t>Tecnología de Computadores - B</t>
  </si>
  <si>
    <t>Tecnologías y sistemas web</t>
  </si>
  <si>
    <t>Alumno Chiapas 2/2</t>
  </si>
  <si>
    <t>Teoría de Autómatas y Computación</t>
  </si>
  <si>
    <t>Videojuegos y Realidad Virtual</t>
  </si>
  <si>
    <t>Alumno Zacatecas 1/2</t>
  </si>
  <si>
    <t>Visión artificial y reconocimiento de patrones</t>
  </si>
  <si>
    <t>Alumno Zacatecas 2/2</t>
  </si>
  <si>
    <t>Alumno Leon 1/2</t>
  </si>
  <si>
    <t>Alumno Leon 2/2</t>
  </si>
  <si>
    <t>Alumno TurkeyEng 1/2</t>
  </si>
  <si>
    <t>Alumno TurkeyEng 2/2</t>
  </si>
  <si>
    <t>Alumno Kadir 1/3</t>
  </si>
  <si>
    <t>Alumno Kadir 2/3</t>
  </si>
  <si>
    <t>Alumno Kadir 3/3</t>
  </si>
  <si>
    <t>Prueba 1 Alu</t>
  </si>
  <si>
    <t>1</t>
  </si>
  <si>
    <t>Columna1</t>
  </si>
  <si>
    <t>Columna2</t>
  </si>
  <si>
    <t>Columna3</t>
  </si>
  <si>
    <t>Columna4</t>
  </si>
  <si>
    <t>Columna5</t>
  </si>
  <si>
    <t>Columna6</t>
  </si>
  <si>
    <t>Columna7</t>
  </si>
  <si>
    <t>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</si>
</sst>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Georgia"/>
      <family val="1"/>
    </font>
    <font>
      <b/>
      <sz val="11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rgb="FFDDDDDD"/>
      </left>
      <right style="medium">
        <color rgb="FFDDDDDD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/>
    <xf numFmtId="0" fontId="2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5" borderId="4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4" displayName="Tabla24" ref="I1:L77" totalsRowShown="0" headerRowDxfId="7">
  <autoFilter ref="I1:L77" xr:uid="{00000000-0009-0000-0100-000001000000}"/>
  <sortState xmlns:xlrd2="http://schemas.microsoft.com/office/spreadsheetml/2017/richdata2" ref="I2:L77">
    <sortCondition ref="I1:I77"/>
  </sortState>
  <tableColumns count="4">
    <tableColumn id="1" xr3:uid="{00000000-0010-0000-0000-000001000000}" name="Asignaturas" dataDxfId="6"/>
    <tableColumn id="2" xr3:uid="{00000000-0010-0000-0000-000002000000}" name="Matriculados" dataDxfId="5">
      <calculatedColumnFormula>COUNTIF($I$2:$I$77, I2)</calculatedColumnFormula>
    </tableColumn>
    <tableColumn id="3" xr3:uid="{00000000-0010-0000-0000-000003000000}" name="Cuatrimestre"/>
    <tableColumn id="4" xr3:uid="{00000000-0010-0000-0000-000004000000}" name="Cu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G124" totalsRowShown="0" headerRowDxfId="4" headerRowBorderDxfId="3" tableBorderDxfId="2">
  <autoFilter ref="A1:G124" xr:uid="{00000000-0009-0000-0100-000002000000}"/>
  <tableColumns count="7">
    <tableColumn id="1" xr3:uid="{00000000-0010-0000-0100-000001000000}" name="Columna1"/>
    <tableColumn id="2" xr3:uid="{00000000-0010-0000-0100-000002000000}" name="Columna2"/>
    <tableColumn id="3" xr3:uid="{00000000-0010-0000-0100-000003000000}" name="Columna3"/>
    <tableColumn id="4" xr3:uid="{00000000-0010-0000-0100-000004000000}" name="Columna4"/>
    <tableColumn id="5" xr3:uid="{00000000-0010-0000-0100-000005000000}" name="Columna5"/>
    <tableColumn id="6" xr3:uid="{00000000-0010-0000-0100-000006000000}" name="Columna6"/>
    <tableColumn id="7" xr3:uid="{00000000-0010-0000-0100-000007000000}" name="Columna7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G2" sqref="D1:G2"/>
    </sheetView>
  </sheetViews>
  <sheetFormatPr baseColWidth="10" defaultColWidth="11.44140625" defaultRowHeight="14.4" x14ac:dyDescent="0.3"/>
  <cols>
    <col min="2" max="2" width="33.44140625" customWidth="1"/>
    <col min="3" max="3" width="29.6640625" customWidth="1"/>
  </cols>
  <sheetData>
    <row r="1" spans="1:5" ht="15" customHeight="1" thickBot="1" x14ac:dyDescent="0.35">
      <c r="A1" s="5" t="s">
        <v>0</v>
      </c>
      <c r="B1" s="5" t="s">
        <v>1</v>
      </c>
      <c r="C1" s="5" t="s">
        <v>2</v>
      </c>
      <c r="E1" s="26"/>
    </row>
    <row r="2" spans="1:5" ht="16.2" customHeight="1" thickBot="1" x14ac:dyDescent="0.35">
      <c r="A2" s="5" t="s">
        <v>3</v>
      </c>
      <c r="B2" s="7" t="s">
        <v>4</v>
      </c>
      <c r="C2" s="5" t="s">
        <v>5</v>
      </c>
    </row>
    <row r="3" spans="1:5" ht="15" customHeight="1" thickBot="1" x14ac:dyDescent="0.35">
      <c r="A3" s="5" t="s">
        <v>6</v>
      </c>
      <c r="B3" s="5" t="s">
        <v>7</v>
      </c>
      <c r="C3" s="5" t="s">
        <v>8</v>
      </c>
    </row>
    <row r="4" spans="1:5" ht="15" customHeight="1" thickBot="1" x14ac:dyDescent="0.35">
      <c r="A4" s="5" t="s">
        <v>6</v>
      </c>
      <c r="B4" s="5" t="s">
        <v>9</v>
      </c>
      <c r="C4" s="5" t="s">
        <v>10</v>
      </c>
    </row>
    <row r="5" spans="1:5" ht="15" customHeight="1" thickBot="1" x14ac:dyDescent="0.35">
      <c r="A5" s="5" t="s">
        <v>11</v>
      </c>
      <c r="B5" s="5" t="s">
        <v>12</v>
      </c>
      <c r="C5" s="5" t="s">
        <v>13</v>
      </c>
    </row>
    <row r="6" spans="1:5" ht="15" customHeight="1" thickBot="1" x14ac:dyDescent="0.35">
      <c r="A6" s="5" t="s">
        <v>14</v>
      </c>
      <c r="B6" s="5" t="s">
        <v>15</v>
      </c>
      <c r="C6" s="5" t="s">
        <v>16</v>
      </c>
    </row>
    <row r="7" spans="1:5" ht="28.2" customHeight="1" thickBot="1" x14ac:dyDescent="0.35">
      <c r="A7" s="5" t="s">
        <v>17</v>
      </c>
      <c r="B7" s="5" t="s">
        <v>18</v>
      </c>
      <c r="C7" s="5" t="s">
        <v>19</v>
      </c>
    </row>
    <row r="8" spans="1:5" ht="15" customHeight="1" thickBot="1" x14ac:dyDescent="0.35">
      <c r="A8" s="5" t="s">
        <v>20</v>
      </c>
      <c r="B8" s="5" t="s">
        <v>21</v>
      </c>
      <c r="C8" s="5" t="s">
        <v>22</v>
      </c>
    </row>
    <row r="9" spans="1:5" ht="15" customHeight="1" thickBot="1" x14ac:dyDescent="0.35">
      <c r="A9" s="5" t="s">
        <v>20</v>
      </c>
      <c r="B9" s="5" t="s">
        <v>23</v>
      </c>
      <c r="C9" s="5" t="s">
        <v>24</v>
      </c>
    </row>
    <row r="10" spans="1:5" ht="15" customHeight="1" thickBot="1" x14ac:dyDescent="0.35">
      <c r="A10" s="5" t="s">
        <v>20</v>
      </c>
      <c r="B10" s="5" t="s">
        <v>25</v>
      </c>
      <c r="C10" s="5" t="s">
        <v>26</v>
      </c>
    </row>
    <row r="11" spans="1:5" ht="15" customHeight="1" thickBot="1" x14ac:dyDescent="0.35">
      <c r="A11" s="5" t="s">
        <v>20</v>
      </c>
      <c r="B11" s="5" t="s">
        <v>27</v>
      </c>
      <c r="C11" s="5" t="s">
        <v>28</v>
      </c>
    </row>
    <row r="12" spans="1:5" ht="15" customHeight="1" thickBot="1" x14ac:dyDescent="0.35">
      <c r="A12" s="5" t="s">
        <v>0</v>
      </c>
      <c r="B12" s="5" t="s">
        <v>29</v>
      </c>
      <c r="C12" s="5" t="s">
        <v>30</v>
      </c>
    </row>
    <row r="13" spans="1:5" ht="15" customHeight="1" thickBot="1" x14ac:dyDescent="0.35">
      <c r="A13" s="5" t="s">
        <v>0</v>
      </c>
      <c r="B13" s="5" t="s">
        <v>31</v>
      </c>
      <c r="C13" s="5" t="s">
        <v>32</v>
      </c>
    </row>
    <row r="14" spans="1:5" ht="15" customHeight="1" thickBot="1" x14ac:dyDescent="0.35">
      <c r="A14" s="5" t="s">
        <v>0</v>
      </c>
      <c r="B14" s="5" t="s">
        <v>33</v>
      </c>
      <c r="C14" s="5" t="s">
        <v>34</v>
      </c>
    </row>
    <row r="15" spans="1:5" ht="15" customHeight="1" thickBot="1" x14ac:dyDescent="0.35">
      <c r="A15" s="5" t="s">
        <v>35</v>
      </c>
      <c r="B15" s="5" t="s">
        <v>36</v>
      </c>
      <c r="C15" s="5" t="s">
        <v>37</v>
      </c>
    </row>
    <row r="16" spans="1:5" ht="15" customHeight="1" thickBot="1" x14ac:dyDescent="0.35">
      <c r="A16" s="5" t="s">
        <v>35</v>
      </c>
      <c r="B16" s="5" t="s">
        <v>38</v>
      </c>
      <c r="C16" s="5" t="s">
        <v>37</v>
      </c>
    </row>
    <row r="17" spans="1:3" ht="15" customHeight="1" thickBot="1" x14ac:dyDescent="0.35">
      <c r="A17" s="5" t="s">
        <v>39</v>
      </c>
      <c r="B17" s="5" t="s">
        <v>40</v>
      </c>
      <c r="C17" s="5" t="s">
        <v>41</v>
      </c>
    </row>
    <row r="18" spans="1:3" ht="15" customHeight="1" thickBot="1" x14ac:dyDescent="0.35">
      <c r="A18" s="5" t="s">
        <v>39</v>
      </c>
      <c r="B18" s="5" t="s">
        <v>42</v>
      </c>
      <c r="C18" s="5" t="s">
        <v>43</v>
      </c>
    </row>
    <row r="19" spans="1:3" ht="15" customHeight="1" thickBot="1" x14ac:dyDescent="0.35">
      <c r="A19" s="5" t="s">
        <v>39</v>
      </c>
      <c r="B19" s="5" t="s">
        <v>44</v>
      </c>
      <c r="C19" s="5" t="s">
        <v>45</v>
      </c>
    </row>
    <row r="20" spans="1:3" ht="15" customHeight="1" thickBot="1" x14ac:dyDescent="0.35">
      <c r="A20" s="5" t="s">
        <v>39</v>
      </c>
      <c r="B20" s="5" t="s">
        <v>46</v>
      </c>
      <c r="C20" s="5" t="s">
        <v>47</v>
      </c>
    </row>
    <row r="21" spans="1:3" ht="15" customHeight="1" thickBot="1" x14ac:dyDescent="0.35">
      <c r="A21" s="5" t="s">
        <v>48</v>
      </c>
      <c r="B21" s="5" t="s">
        <v>49</v>
      </c>
      <c r="C21" t="s">
        <v>50</v>
      </c>
    </row>
    <row r="22" spans="1:3" x14ac:dyDescent="0.3">
      <c r="A22" s="6" t="s">
        <v>48</v>
      </c>
      <c r="B22" s="8" t="s">
        <v>51</v>
      </c>
      <c r="C22" s="6" t="s">
        <v>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"/>
  <sheetViews>
    <sheetView tabSelected="1" workbookViewId="0">
      <selection activeCell="B75" sqref="B2:B75"/>
    </sheetView>
  </sheetViews>
  <sheetFormatPr baseColWidth="10" defaultColWidth="8.88671875" defaultRowHeight="14.4" x14ac:dyDescent="0.3"/>
  <cols>
    <col min="2" max="2" width="23.88671875" customWidth="1"/>
    <col min="9" max="9" width="38.33203125" bestFit="1" customWidth="1"/>
    <col min="10" max="10" width="16.44140625" bestFit="1" customWidth="1"/>
    <col min="11" max="11" width="16.21875" bestFit="1" customWidth="1"/>
    <col min="15" max="15" width="11.33203125" bestFit="1" customWidth="1"/>
  </cols>
  <sheetData>
    <row r="1" spans="1:15" x14ac:dyDescent="0.3">
      <c r="A1" s="20" t="s">
        <v>53</v>
      </c>
      <c r="B1" s="20" t="s">
        <v>54</v>
      </c>
      <c r="C1" s="20" t="s">
        <v>55</v>
      </c>
      <c r="D1" s="20" t="s">
        <v>56</v>
      </c>
      <c r="E1" s="20" t="s">
        <v>57</v>
      </c>
      <c r="F1" s="20" t="s">
        <v>58</v>
      </c>
      <c r="G1" s="20" t="s">
        <v>59</v>
      </c>
      <c r="H1" s="10"/>
      <c r="I1" s="1" t="s">
        <v>60</v>
      </c>
      <c r="J1" s="1" t="s">
        <v>61</v>
      </c>
      <c r="K1" s="1" t="s">
        <v>62</v>
      </c>
      <c r="L1" s="1" t="s">
        <v>63</v>
      </c>
    </row>
    <row r="2" spans="1:15" x14ac:dyDescent="0.3">
      <c r="A2" s="14" t="s">
        <v>64</v>
      </c>
      <c r="B2" s="15" t="s">
        <v>65</v>
      </c>
      <c r="C2" s="15" t="s">
        <v>0</v>
      </c>
      <c r="D2" s="15" t="s">
        <v>1</v>
      </c>
      <c r="E2" s="15">
        <v>2</v>
      </c>
      <c r="F2" s="15" t="s">
        <v>66</v>
      </c>
      <c r="G2" s="16"/>
      <c r="I2" t="s">
        <v>67</v>
      </c>
      <c r="J2">
        <f>COUNTIF(Hoja1!A:A, I2)</f>
        <v>0</v>
      </c>
      <c r="K2">
        <v>1</v>
      </c>
      <c r="L2">
        <v>5</v>
      </c>
      <c r="N2" t="s">
        <v>215</v>
      </c>
      <c r="O2">
        <f>SUM(B2:B73)</f>
        <v>0</v>
      </c>
    </row>
    <row r="3" spans="1:15" x14ac:dyDescent="0.3">
      <c r="A3" s="17" t="s">
        <v>68</v>
      </c>
      <c r="B3" s="18" t="s">
        <v>65</v>
      </c>
      <c r="C3" s="18" t="s">
        <v>0</v>
      </c>
      <c r="D3" s="18" t="s">
        <v>1</v>
      </c>
      <c r="E3" s="18">
        <v>2</v>
      </c>
      <c r="F3" s="18" t="s">
        <v>66</v>
      </c>
      <c r="G3" s="19"/>
      <c r="I3" t="s">
        <v>69</v>
      </c>
      <c r="J3">
        <f>COUNTIF(Hoja1!A:A, I3)</f>
        <v>0</v>
      </c>
      <c r="K3">
        <v>1</v>
      </c>
      <c r="L3">
        <v>5</v>
      </c>
    </row>
    <row r="4" spans="1:15" x14ac:dyDescent="0.3">
      <c r="A4" s="14" t="s">
        <v>70</v>
      </c>
      <c r="B4" s="15" t="s">
        <v>71</v>
      </c>
      <c r="C4" s="15" t="s">
        <v>0</v>
      </c>
      <c r="D4" s="15" t="s">
        <v>1</v>
      </c>
      <c r="E4" s="15" t="s">
        <v>72</v>
      </c>
      <c r="F4" s="15"/>
      <c r="G4" s="16" t="s">
        <v>73</v>
      </c>
      <c r="I4" t="s">
        <v>74</v>
      </c>
      <c r="J4">
        <f>COUNTIF(Hoja1!A:A, I4)</f>
        <v>0</v>
      </c>
      <c r="K4">
        <v>2</v>
      </c>
      <c r="L4">
        <v>5</v>
      </c>
    </row>
    <row r="5" spans="1:15" x14ac:dyDescent="0.3">
      <c r="A5" s="17" t="s">
        <v>75</v>
      </c>
      <c r="B5" s="18" t="s">
        <v>76</v>
      </c>
      <c r="C5" s="18" t="s">
        <v>20</v>
      </c>
      <c r="D5" s="18" t="s">
        <v>21</v>
      </c>
      <c r="E5" s="18" t="s">
        <v>72</v>
      </c>
      <c r="F5" s="18"/>
      <c r="G5" s="19" t="s">
        <v>73</v>
      </c>
      <c r="I5" t="s">
        <v>77</v>
      </c>
      <c r="J5">
        <f>COUNTIF(Hoja1!A:A, I5)</f>
        <v>0</v>
      </c>
      <c r="K5">
        <v>2</v>
      </c>
      <c r="L5">
        <v>5</v>
      </c>
    </row>
    <row r="6" spans="1:15" x14ac:dyDescent="0.3">
      <c r="A6" s="14" t="s">
        <v>78</v>
      </c>
      <c r="B6" s="15" t="s">
        <v>79</v>
      </c>
      <c r="C6" s="15" t="s">
        <v>20</v>
      </c>
      <c r="D6" s="15" t="s">
        <v>21</v>
      </c>
      <c r="E6" s="15"/>
      <c r="F6" s="15"/>
      <c r="G6" s="16"/>
      <c r="I6" t="s">
        <v>80</v>
      </c>
      <c r="J6">
        <f>COUNTIF(Hoja1!A:A, I6)</f>
        <v>0</v>
      </c>
      <c r="K6">
        <v>2</v>
      </c>
      <c r="L6">
        <v>5</v>
      </c>
    </row>
    <row r="7" spans="1:15" x14ac:dyDescent="0.3">
      <c r="A7" s="17" t="s">
        <v>81</v>
      </c>
      <c r="B7" s="18" t="s">
        <v>82</v>
      </c>
      <c r="C7" s="18" t="s">
        <v>20</v>
      </c>
      <c r="D7" s="18" t="s">
        <v>21</v>
      </c>
      <c r="E7" s="18"/>
      <c r="F7" s="18"/>
      <c r="G7" s="19"/>
      <c r="I7" t="s">
        <v>83</v>
      </c>
      <c r="J7">
        <f>COUNTIF(Hoja1!A:A, I7)</f>
        <v>0</v>
      </c>
      <c r="K7">
        <v>2</v>
      </c>
      <c r="L7">
        <v>5</v>
      </c>
    </row>
    <row r="8" spans="1:15" x14ac:dyDescent="0.3">
      <c r="A8" s="14" t="s">
        <v>84</v>
      </c>
      <c r="B8" s="15" t="s">
        <v>85</v>
      </c>
      <c r="C8" s="15" t="s">
        <v>20</v>
      </c>
      <c r="D8" s="15" t="s">
        <v>21</v>
      </c>
      <c r="E8" s="15"/>
      <c r="F8" s="15"/>
      <c r="G8" s="16"/>
      <c r="I8" t="s">
        <v>86</v>
      </c>
      <c r="J8">
        <f>COUNTIF(Hoja1!A:A, I8)</f>
        <v>0</v>
      </c>
      <c r="K8">
        <v>1</v>
      </c>
      <c r="L8">
        <v>5</v>
      </c>
    </row>
    <row r="9" spans="1:15" x14ac:dyDescent="0.3">
      <c r="A9" s="17" t="s">
        <v>70</v>
      </c>
      <c r="B9" s="18" t="s">
        <v>87</v>
      </c>
      <c r="C9" s="18" t="s">
        <v>20</v>
      </c>
      <c r="D9" s="18" t="s">
        <v>21</v>
      </c>
      <c r="E9" s="18"/>
      <c r="F9" s="18" t="s">
        <v>66</v>
      </c>
      <c r="G9" s="19"/>
      <c r="I9" t="s">
        <v>88</v>
      </c>
      <c r="J9">
        <f>COUNTIF(Hoja1!A:A, I9)</f>
        <v>0</v>
      </c>
      <c r="K9">
        <v>1</v>
      </c>
      <c r="L9">
        <v>5</v>
      </c>
    </row>
    <row r="10" spans="1:15" x14ac:dyDescent="0.3">
      <c r="A10" s="14" t="s">
        <v>89</v>
      </c>
      <c r="B10" s="15" t="s">
        <v>90</v>
      </c>
      <c r="C10" s="15" t="s">
        <v>20</v>
      </c>
      <c r="D10" s="15" t="s">
        <v>21</v>
      </c>
      <c r="E10" s="15"/>
      <c r="F10" s="15"/>
      <c r="G10" s="16"/>
      <c r="I10" t="s">
        <v>91</v>
      </c>
      <c r="J10">
        <f>COUNTIF(Hoja1!A:A, I10)</f>
        <v>0</v>
      </c>
      <c r="K10">
        <v>2</v>
      </c>
      <c r="L10">
        <v>5</v>
      </c>
    </row>
    <row r="11" spans="1:15" x14ac:dyDescent="0.3">
      <c r="A11" s="17" t="s">
        <v>69</v>
      </c>
      <c r="B11" s="18" t="s">
        <v>92</v>
      </c>
      <c r="C11" s="18" t="s">
        <v>20</v>
      </c>
      <c r="D11" s="18" t="s">
        <v>21</v>
      </c>
      <c r="E11" s="18"/>
      <c r="F11" s="18"/>
      <c r="G11" s="19"/>
      <c r="I11" t="s">
        <v>75</v>
      </c>
      <c r="J11">
        <f>COUNTIF(Hoja1!A:A, I11)</f>
        <v>0</v>
      </c>
      <c r="K11">
        <v>2</v>
      </c>
      <c r="L11">
        <v>5</v>
      </c>
    </row>
    <row r="12" spans="1:15" x14ac:dyDescent="0.3">
      <c r="A12" s="14" t="s">
        <v>68</v>
      </c>
      <c r="B12" s="15" t="s">
        <v>93</v>
      </c>
      <c r="C12" s="15" t="s">
        <v>20</v>
      </c>
      <c r="D12" s="15" t="s">
        <v>21</v>
      </c>
      <c r="E12" s="15"/>
      <c r="F12" s="15"/>
      <c r="G12" s="16"/>
      <c r="I12" t="s">
        <v>89</v>
      </c>
      <c r="J12">
        <f>COUNTIF(Hoja1!A:A, I12)</f>
        <v>0</v>
      </c>
      <c r="K12">
        <v>1</v>
      </c>
      <c r="L12">
        <v>5</v>
      </c>
    </row>
    <row r="13" spans="1:15" x14ac:dyDescent="0.3">
      <c r="A13" s="17" t="s">
        <v>94</v>
      </c>
      <c r="B13" s="18" t="s">
        <v>95</v>
      </c>
      <c r="C13" s="18" t="s">
        <v>20</v>
      </c>
      <c r="D13" s="18" t="s">
        <v>21</v>
      </c>
      <c r="E13" s="18">
        <v>2</v>
      </c>
      <c r="F13" s="18" t="s">
        <v>66</v>
      </c>
      <c r="G13" s="19" t="s">
        <v>96</v>
      </c>
      <c r="I13" t="s">
        <v>97</v>
      </c>
      <c r="J13">
        <f>COUNTIF(Hoja1!A:A, I13)</f>
        <v>0</v>
      </c>
      <c r="K13">
        <v>1</v>
      </c>
      <c r="L13">
        <v>5</v>
      </c>
    </row>
    <row r="14" spans="1:15" x14ac:dyDescent="0.3">
      <c r="A14" s="14" t="s">
        <v>70</v>
      </c>
      <c r="B14" s="15" t="s">
        <v>99</v>
      </c>
      <c r="C14" s="15" t="s">
        <v>3</v>
      </c>
      <c r="D14" s="15" t="s">
        <v>4</v>
      </c>
      <c r="E14" s="15" t="s">
        <v>72</v>
      </c>
      <c r="F14" s="15" t="s">
        <v>66</v>
      </c>
      <c r="G14" s="16" t="s">
        <v>98</v>
      </c>
      <c r="I14" t="s">
        <v>84</v>
      </c>
      <c r="J14">
        <f>COUNTIF(Hoja1!A:A, I14)</f>
        <v>0</v>
      </c>
      <c r="K14">
        <v>1</v>
      </c>
      <c r="L14">
        <v>5</v>
      </c>
    </row>
    <row r="15" spans="1:15" x14ac:dyDescent="0.3">
      <c r="A15" s="17" t="s">
        <v>101</v>
      </c>
      <c r="B15" s="18" t="s">
        <v>102</v>
      </c>
      <c r="C15" s="18" t="s">
        <v>3</v>
      </c>
      <c r="D15" s="18" t="s">
        <v>4</v>
      </c>
      <c r="E15" s="18"/>
      <c r="F15" s="18" t="s">
        <v>66</v>
      </c>
      <c r="G15" s="19"/>
      <c r="I15" t="s">
        <v>100</v>
      </c>
      <c r="J15">
        <f>COUNTIF(Hoja1!A:A, I15)</f>
        <v>0</v>
      </c>
      <c r="K15">
        <v>2</v>
      </c>
      <c r="L15">
        <v>5</v>
      </c>
    </row>
    <row r="16" spans="1:15" ht="15" thickBot="1" x14ac:dyDescent="0.35">
      <c r="A16" s="14" t="s">
        <v>70</v>
      </c>
      <c r="B16" s="15" t="s">
        <v>105</v>
      </c>
      <c r="C16" s="15" t="s">
        <v>6</v>
      </c>
      <c r="D16" s="15" t="s">
        <v>7</v>
      </c>
      <c r="E16" s="15" t="s">
        <v>72</v>
      </c>
      <c r="F16" s="15" t="s">
        <v>66</v>
      </c>
      <c r="G16" s="16" t="s">
        <v>106</v>
      </c>
      <c r="I16" t="s">
        <v>103</v>
      </c>
      <c r="J16">
        <f>COUNTIF(Hoja1!A:A, I16)</f>
        <v>0</v>
      </c>
      <c r="K16">
        <v>1</v>
      </c>
      <c r="L16">
        <v>5</v>
      </c>
    </row>
    <row r="17" spans="1:12" ht="55.8" thickBot="1" x14ac:dyDescent="0.35">
      <c r="A17" s="17" t="s">
        <v>70</v>
      </c>
      <c r="B17" s="18" t="s">
        <v>107</v>
      </c>
      <c r="C17" s="5" t="s">
        <v>6</v>
      </c>
      <c r="D17" s="5" t="s">
        <v>9</v>
      </c>
      <c r="E17" s="18"/>
      <c r="F17" s="18"/>
      <c r="G17" s="19"/>
      <c r="I17" t="s">
        <v>104</v>
      </c>
      <c r="J17">
        <f>COUNTIF(Hoja1!A:A, I17)</f>
        <v>0</v>
      </c>
      <c r="K17">
        <v>2</v>
      </c>
      <c r="L17">
        <v>5</v>
      </c>
    </row>
    <row r="18" spans="1:12" ht="15" customHeight="1" thickBot="1" x14ac:dyDescent="0.35">
      <c r="A18" s="14" t="s">
        <v>70</v>
      </c>
      <c r="B18" s="15" t="s">
        <v>108</v>
      </c>
      <c r="C18" s="21" t="s">
        <v>11</v>
      </c>
      <c r="D18" s="21" t="s">
        <v>12</v>
      </c>
      <c r="E18" s="15"/>
      <c r="F18" s="15"/>
      <c r="G18" s="16"/>
      <c r="I18" t="s">
        <v>64</v>
      </c>
      <c r="J18">
        <f>COUNTIF(Hoja1!A:A, I18)</f>
        <v>0</v>
      </c>
      <c r="K18">
        <v>2</v>
      </c>
      <c r="L18">
        <v>5</v>
      </c>
    </row>
    <row r="19" spans="1:12" ht="15" customHeight="1" thickBot="1" x14ac:dyDescent="0.35">
      <c r="A19" s="17" t="s">
        <v>97</v>
      </c>
      <c r="B19" s="18" t="s">
        <v>110</v>
      </c>
      <c r="C19" s="5" t="s">
        <v>14</v>
      </c>
      <c r="D19" s="5" t="s">
        <v>15</v>
      </c>
      <c r="E19" s="18"/>
      <c r="F19" s="18"/>
      <c r="G19" s="19"/>
      <c r="I19" t="s">
        <v>68</v>
      </c>
      <c r="J19">
        <f>COUNTIF(Hoja1!A:A, I19)</f>
        <v>0</v>
      </c>
      <c r="K19">
        <v>2</v>
      </c>
      <c r="L19">
        <v>5</v>
      </c>
    </row>
    <row r="20" spans="1:12" ht="42" customHeight="1" thickBot="1" x14ac:dyDescent="0.35">
      <c r="A20" s="14" t="s">
        <v>104</v>
      </c>
      <c r="B20" s="15" t="s">
        <v>112</v>
      </c>
      <c r="C20" s="21" t="s">
        <v>14</v>
      </c>
      <c r="D20" s="21" t="s">
        <v>15</v>
      </c>
      <c r="E20" s="15"/>
      <c r="F20" s="15"/>
      <c r="G20" s="16"/>
      <c r="I20" t="s">
        <v>109</v>
      </c>
      <c r="J20">
        <f>COUNTIF(Hoja1!A:A, I20)</f>
        <v>0</v>
      </c>
      <c r="K20">
        <v>2</v>
      </c>
      <c r="L20">
        <v>5</v>
      </c>
    </row>
    <row r="21" spans="1:12" ht="15" customHeight="1" thickBot="1" x14ac:dyDescent="0.35">
      <c r="A21" s="17" t="s">
        <v>114</v>
      </c>
      <c r="B21" s="18" t="s">
        <v>115</v>
      </c>
      <c r="C21" s="5" t="s">
        <v>14</v>
      </c>
      <c r="D21" s="5" t="s">
        <v>15</v>
      </c>
      <c r="E21" s="18"/>
      <c r="F21" s="18"/>
      <c r="G21" s="19"/>
      <c r="I21" t="s">
        <v>78</v>
      </c>
      <c r="J21">
        <f>COUNTIF(Hoja1!A:A, I21)</f>
        <v>0</v>
      </c>
      <c r="K21">
        <v>2</v>
      </c>
      <c r="L21">
        <v>5</v>
      </c>
    </row>
    <row r="22" spans="1:12" ht="15" customHeight="1" thickBot="1" x14ac:dyDescent="0.35">
      <c r="A22" s="14" t="s">
        <v>118</v>
      </c>
      <c r="B22" s="15" t="s">
        <v>119</v>
      </c>
      <c r="C22" s="21" t="s">
        <v>17</v>
      </c>
      <c r="D22" s="21" t="s">
        <v>18</v>
      </c>
      <c r="E22" s="15"/>
      <c r="F22" s="15"/>
      <c r="G22" s="16"/>
      <c r="I22" t="s">
        <v>111</v>
      </c>
      <c r="J22">
        <f>COUNTIF(Hoja1!A:A, I22)</f>
        <v>0</v>
      </c>
      <c r="K22">
        <v>2</v>
      </c>
      <c r="L22">
        <v>5</v>
      </c>
    </row>
    <row r="23" spans="1:12" ht="15" customHeight="1" thickBot="1" x14ac:dyDescent="0.35">
      <c r="A23" s="17" t="s">
        <v>121</v>
      </c>
      <c r="B23" s="18" t="s">
        <v>122</v>
      </c>
      <c r="C23" s="5" t="s">
        <v>17</v>
      </c>
      <c r="D23" s="5" t="s">
        <v>18</v>
      </c>
      <c r="E23" s="18"/>
      <c r="F23" s="18"/>
      <c r="G23" s="19"/>
      <c r="I23" t="s">
        <v>113</v>
      </c>
      <c r="J23">
        <f>COUNTIF(Hoja1!A:A, I23)</f>
        <v>0</v>
      </c>
      <c r="K23">
        <v>1</v>
      </c>
      <c r="L23">
        <v>5</v>
      </c>
    </row>
    <row r="24" spans="1:12" ht="28.2" customHeight="1" thickBot="1" x14ac:dyDescent="0.35">
      <c r="A24" s="14" t="s">
        <v>64</v>
      </c>
      <c r="B24" s="15" t="s">
        <v>124</v>
      </c>
      <c r="C24" s="21" t="s">
        <v>17</v>
      </c>
      <c r="D24" s="21" t="s">
        <v>18</v>
      </c>
      <c r="E24" s="15"/>
      <c r="F24" s="15"/>
      <c r="G24" s="16"/>
      <c r="I24" t="s">
        <v>116</v>
      </c>
      <c r="J24">
        <f>COUNTIF(Hoja1!A:A, I24)</f>
        <v>0</v>
      </c>
      <c r="K24">
        <v>1</v>
      </c>
      <c r="L24">
        <v>5</v>
      </c>
    </row>
    <row r="25" spans="1:12" ht="15" customHeight="1" thickBot="1" x14ac:dyDescent="0.35">
      <c r="A25" s="17" t="s">
        <v>126</v>
      </c>
      <c r="B25" s="18" t="s">
        <v>127</v>
      </c>
      <c r="C25" s="5" t="s">
        <v>17</v>
      </c>
      <c r="D25" s="5" t="s">
        <v>18</v>
      </c>
      <c r="E25" s="18"/>
      <c r="F25" s="18"/>
      <c r="G25" s="19"/>
      <c r="I25" t="s">
        <v>117</v>
      </c>
      <c r="J25">
        <f>COUNTIF(Hoja1!A:A, I25)</f>
        <v>0</v>
      </c>
      <c r="K25">
        <v>1</v>
      </c>
      <c r="L25">
        <v>5</v>
      </c>
    </row>
    <row r="26" spans="1:12" ht="15" customHeight="1" thickBot="1" x14ac:dyDescent="0.35">
      <c r="A26" s="14" t="s">
        <v>74</v>
      </c>
      <c r="B26" s="15" t="s">
        <v>130</v>
      </c>
      <c r="C26" s="21" t="s">
        <v>20</v>
      </c>
      <c r="D26" s="21" t="s">
        <v>23</v>
      </c>
      <c r="E26" s="15"/>
      <c r="F26" s="15"/>
      <c r="G26" s="16"/>
      <c r="I26" t="s">
        <v>120</v>
      </c>
      <c r="J26">
        <f>COUNTIF(Hoja1!A:A, I26)</f>
        <v>0</v>
      </c>
      <c r="K26">
        <v>1</v>
      </c>
      <c r="L26">
        <v>5</v>
      </c>
    </row>
    <row r="27" spans="1:12" ht="28.2" customHeight="1" thickBot="1" x14ac:dyDescent="0.35">
      <c r="A27" s="17" t="s">
        <v>109</v>
      </c>
      <c r="B27" s="18" t="s">
        <v>131</v>
      </c>
      <c r="C27" s="5" t="s">
        <v>20</v>
      </c>
      <c r="D27" s="5" t="s">
        <v>23</v>
      </c>
      <c r="E27" s="18"/>
      <c r="F27" s="18"/>
      <c r="G27" s="19"/>
      <c r="I27" t="s">
        <v>123</v>
      </c>
      <c r="J27">
        <f>COUNTIF(Hoja1!A:A, I27)</f>
        <v>0</v>
      </c>
      <c r="K27">
        <v>1</v>
      </c>
      <c r="L27">
        <v>5</v>
      </c>
    </row>
    <row r="28" spans="1:12" ht="28.2" customHeight="1" thickBot="1" x14ac:dyDescent="0.35">
      <c r="A28" s="14" t="s">
        <v>133</v>
      </c>
      <c r="B28" s="15" t="s">
        <v>131</v>
      </c>
      <c r="C28" s="21" t="s">
        <v>20</v>
      </c>
      <c r="D28" s="21" t="s">
        <v>23</v>
      </c>
      <c r="E28" s="15"/>
      <c r="F28" s="15"/>
      <c r="G28" s="16"/>
      <c r="I28" t="s">
        <v>125</v>
      </c>
      <c r="J28">
        <f>COUNTIF(Hoja1!A:A, I28)</f>
        <v>0</v>
      </c>
      <c r="K28">
        <v>1</v>
      </c>
      <c r="L28">
        <v>5</v>
      </c>
    </row>
    <row r="29" spans="1:12" ht="28.2" customHeight="1" thickBot="1" x14ac:dyDescent="0.35">
      <c r="A29" s="17" t="s">
        <v>134</v>
      </c>
      <c r="B29" s="18" t="s">
        <v>131</v>
      </c>
      <c r="C29" s="22" t="s">
        <v>20</v>
      </c>
      <c r="D29" s="23" t="s">
        <v>23</v>
      </c>
      <c r="E29" s="18"/>
      <c r="F29" s="18"/>
      <c r="G29" s="19"/>
      <c r="I29" t="s">
        <v>128</v>
      </c>
      <c r="J29">
        <f>COUNTIF(Hoja1!A:A, I29)</f>
        <v>0</v>
      </c>
      <c r="K29">
        <v>1</v>
      </c>
      <c r="L29">
        <v>5</v>
      </c>
    </row>
    <row r="30" spans="1:12" ht="15" customHeight="1" thickBot="1" x14ac:dyDescent="0.35">
      <c r="A30" s="14" t="s">
        <v>77</v>
      </c>
      <c r="B30" s="15" t="s">
        <v>135</v>
      </c>
      <c r="C30" s="21" t="s">
        <v>20</v>
      </c>
      <c r="D30" s="21" t="s">
        <v>25</v>
      </c>
      <c r="E30" s="15"/>
      <c r="F30" s="15"/>
      <c r="G30" s="16"/>
      <c r="I30" t="s">
        <v>129</v>
      </c>
      <c r="J30">
        <f>COUNTIF(Hoja1!A:A, I30)</f>
        <v>0</v>
      </c>
      <c r="K30">
        <v>1</v>
      </c>
      <c r="L30">
        <v>5</v>
      </c>
    </row>
    <row r="31" spans="1:12" ht="15" customHeight="1" thickBot="1" x14ac:dyDescent="0.35">
      <c r="A31" s="17" t="s">
        <v>78</v>
      </c>
      <c r="B31" s="18" t="s">
        <v>136</v>
      </c>
      <c r="C31" s="5" t="s">
        <v>20</v>
      </c>
      <c r="D31" s="5" t="s">
        <v>25</v>
      </c>
      <c r="E31" s="18"/>
      <c r="F31" s="18"/>
      <c r="G31" s="19"/>
      <c r="I31" t="s">
        <v>81</v>
      </c>
      <c r="J31">
        <f>COUNTIF(Hoja1!A:A, I31)</f>
        <v>0</v>
      </c>
      <c r="K31">
        <v>2</v>
      </c>
      <c r="L31">
        <v>5</v>
      </c>
    </row>
    <row r="32" spans="1:12" ht="15" customHeight="1" thickBot="1" x14ac:dyDescent="0.35">
      <c r="A32" s="14" t="s">
        <v>137</v>
      </c>
      <c r="B32" s="15" t="s">
        <v>138</v>
      </c>
      <c r="C32" s="21" t="s">
        <v>20</v>
      </c>
      <c r="D32" s="21" t="s">
        <v>25</v>
      </c>
      <c r="E32" s="15"/>
      <c r="F32" s="15"/>
      <c r="G32" s="16"/>
      <c r="I32" t="s">
        <v>132</v>
      </c>
      <c r="J32">
        <f>COUNTIF(Hoja1!A:A, I32)</f>
        <v>0</v>
      </c>
      <c r="K32">
        <v>2</v>
      </c>
      <c r="L32" s="4">
        <v>7</v>
      </c>
    </row>
    <row r="33" spans="1:12" ht="15" customHeight="1" thickBot="1" x14ac:dyDescent="0.35">
      <c r="A33" s="17" t="s">
        <v>140</v>
      </c>
      <c r="B33" s="18" t="s">
        <v>138</v>
      </c>
      <c r="C33" s="5" t="s">
        <v>20</v>
      </c>
      <c r="D33" s="5" t="s">
        <v>25</v>
      </c>
      <c r="E33" s="18"/>
      <c r="F33" s="18"/>
      <c r="G33" s="19"/>
      <c r="I33" t="s">
        <v>70</v>
      </c>
      <c r="J33">
        <f>COUNTIF(Hoja1!A:A, I33)</f>
        <v>0</v>
      </c>
      <c r="K33">
        <v>1</v>
      </c>
      <c r="L33">
        <v>5</v>
      </c>
    </row>
    <row r="34" spans="1:12" ht="28.2" customHeight="1" thickBot="1" x14ac:dyDescent="0.35">
      <c r="A34" s="14" t="s">
        <v>80</v>
      </c>
      <c r="B34" s="15" t="s">
        <v>143</v>
      </c>
      <c r="C34" s="21" t="s">
        <v>20</v>
      </c>
      <c r="D34" s="21" t="s">
        <v>27</v>
      </c>
      <c r="E34" s="15"/>
      <c r="F34" s="15"/>
      <c r="G34" s="16"/>
      <c r="I34" t="s">
        <v>101</v>
      </c>
      <c r="J34">
        <f>COUNTIF(Hoja1!A:A, I34)</f>
        <v>0</v>
      </c>
      <c r="K34">
        <v>1</v>
      </c>
      <c r="L34">
        <v>5</v>
      </c>
    </row>
    <row r="35" spans="1:12" ht="28.2" customHeight="1" thickBot="1" x14ac:dyDescent="0.35">
      <c r="A35" s="17" t="s">
        <v>111</v>
      </c>
      <c r="B35" s="18" t="s">
        <v>145</v>
      </c>
      <c r="C35" s="5" t="s">
        <v>20</v>
      </c>
      <c r="D35" s="5" t="s">
        <v>27</v>
      </c>
      <c r="E35" s="18">
        <v>1</v>
      </c>
      <c r="F35" s="18" t="s">
        <v>66</v>
      </c>
      <c r="G35" s="19"/>
      <c r="I35" t="s">
        <v>94</v>
      </c>
      <c r="J35">
        <f>COUNTIF(Hoja1!A:A, I35)</f>
        <v>0</v>
      </c>
      <c r="K35">
        <v>1</v>
      </c>
      <c r="L35">
        <v>5</v>
      </c>
    </row>
    <row r="36" spans="1:12" ht="42" customHeight="1" thickBot="1" x14ac:dyDescent="0.35">
      <c r="A36" s="14" t="s">
        <v>139</v>
      </c>
      <c r="B36" s="15" t="s">
        <v>145</v>
      </c>
      <c r="C36" s="21" t="s">
        <v>20</v>
      </c>
      <c r="D36" s="21" t="s">
        <v>27</v>
      </c>
      <c r="E36" s="15">
        <v>1</v>
      </c>
      <c r="F36" s="15" t="s">
        <v>66</v>
      </c>
      <c r="G36" s="16"/>
      <c r="I36" t="s">
        <v>133</v>
      </c>
      <c r="J36">
        <f>COUNTIF(Hoja1!A:A, I36)</f>
        <v>0</v>
      </c>
      <c r="K36">
        <v>2</v>
      </c>
      <c r="L36">
        <v>5</v>
      </c>
    </row>
    <row r="37" spans="1:12" ht="15" customHeight="1" thickBot="1" x14ac:dyDescent="0.35">
      <c r="A37" s="17" t="s">
        <v>148</v>
      </c>
      <c r="B37" s="18" t="s">
        <v>145</v>
      </c>
      <c r="C37" s="5" t="s">
        <v>20</v>
      </c>
      <c r="D37" s="5" t="s">
        <v>27</v>
      </c>
      <c r="E37" s="18">
        <v>1</v>
      </c>
      <c r="F37" s="18" t="s">
        <v>66</v>
      </c>
      <c r="G37" s="19"/>
      <c r="I37" t="s">
        <v>137</v>
      </c>
      <c r="J37">
        <f>COUNTIF(Hoja1!A:A, I37)</f>
        <v>0</v>
      </c>
      <c r="K37">
        <v>1</v>
      </c>
      <c r="L37" s="4">
        <v>7</v>
      </c>
    </row>
    <row r="38" spans="1:12" ht="15" customHeight="1" thickBot="1" x14ac:dyDescent="0.35">
      <c r="A38" s="14" t="s">
        <v>83</v>
      </c>
      <c r="B38" s="15" t="s">
        <v>151</v>
      </c>
      <c r="C38" s="21" t="s">
        <v>0</v>
      </c>
      <c r="D38" s="21" t="s">
        <v>29</v>
      </c>
      <c r="E38" s="15"/>
      <c r="F38" s="15"/>
      <c r="G38" s="16"/>
      <c r="I38" t="s">
        <v>139</v>
      </c>
      <c r="J38">
        <f>COUNTIF(Hoja1!A:A, I38)</f>
        <v>0</v>
      </c>
      <c r="K38">
        <v>1</v>
      </c>
      <c r="L38">
        <v>5</v>
      </c>
    </row>
    <row r="39" spans="1:12" ht="15" customHeight="1" thickBot="1" x14ac:dyDescent="0.35">
      <c r="A39" s="17" t="s">
        <v>113</v>
      </c>
      <c r="B39" s="18" t="s">
        <v>153</v>
      </c>
      <c r="C39" s="5" t="s">
        <v>0</v>
      </c>
      <c r="D39" s="5" t="s">
        <v>29</v>
      </c>
      <c r="E39" s="18"/>
      <c r="F39" s="18"/>
      <c r="G39" s="19"/>
      <c r="I39" t="s">
        <v>141</v>
      </c>
      <c r="J39">
        <f>COUNTIF(Hoja1!A:A, I39)</f>
        <v>0</v>
      </c>
      <c r="K39">
        <v>1</v>
      </c>
      <c r="L39">
        <v>5</v>
      </c>
    </row>
    <row r="40" spans="1:12" ht="28.2" customHeight="1" thickBot="1" x14ac:dyDescent="0.35">
      <c r="A40" s="14" t="s">
        <v>141</v>
      </c>
      <c r="B40" s="15" t="s">
        <v>155</v>
      </c>
      <c r="C40" s="21" t="s">
        <v>0</v>
      </c>
      <c r="D40" s="21" t="s">
        <v>29</v>
      </c>
      <c r="E40" s="15"/>
      <c r="F40" s="15"/>
      <c r="G40" s="16"/>
      <c r="I40" t="s">
        <v>142</v>
      </c>
      <c r="J40">
        <f>COUNTIF(Hoja1!A:A, I40)</f>
        <v>0</v>
      </c>
      <c r="K40">
        <v>2</v>
      </c>
      <c r="L40">
        <v>5</v>
      </c>
    </row>
    <row r="41" spans="1:12" ht="15" customHeight="1" thickBot="1" x14ac:dyDescent="0.35">
      <c r="A41" s="17" t="s">
        <v>157</v>
      </c>
      <c r="B41" s="18" t="s">
        <v>155</v>
      </c>
      <c r="C41" s="5" t="s">
        <v>0</v>
      </c>
      <c r="D41" s="5" t="s">
        <v>29</v>
      </c>
      <c r="E41" s="18"/>
      <c r="F41" s="18"/>
      <c r="G41" s="19"/>
      <c r="I41" t="s">
        <v>144</v>
      </c>
      <c r="J41">
        <f>COUNTIF(Hoja1!A:A, I41)</f>
        <v>0</v>
      </c>
      <c r="K41">
        <v>1</v>
      </c>
      <c r="L41">
        <v>5</v>
      </c>
    </row>
    <row r="42" spans="1:12" ht="15" customHeight="1" thickBot="1" x14ac:dyDescent="0.35">
      <c r="A42" s="14" t="s">
        <v>86</v>
      </c>
      <c r="B42" s="15" t="s">
        <v>159</v>
      </c>
      <c r="C42" s="21" t="s">
        <v>0</v>
      </c>
      <c r="D42" s="21" t="s">
        <v>31</v>
      </c>
      <c r="E42" s="15"/>
      <c r="F42" s="15"/>
      <c r="G42" s="16"/>
      <c r="I42" t="s">
        <v>146</v>
      </c>
      <c r="J42">
        <f>COUNTIF(Hoja1!A:A, I42)</f>
        <v>0</v>
      </c>
      <c r="K42">
        <v>1</v>
      </c>
      <c r="L42">
        <v>5</v>
      </c>
    </row>
    <row r="43" spans="1:12" ht="28.2" customHeight="1" thickBot="1" x14ac:dyDescent="0.35">
      <c r="A43" s="17" t="s">
        <v>116</v>
      </c>
      <c r="B43" s="18" t="s">
        <v>159</v>
      </c>
      <c r="C43" s="5" t="s">
        <v>0</v>
      </c>
      <c r="D43" s="5" t="s">
        <v>31</v>
      </c>
      <c r="E43" s="18"/>
      <c r="F43" s="18"/>
      <c r="G43" s="19"/>
      <c r="I43" t="s">
        <v>147</v>
      </c>
      <c r="J43">
        <f>COUNTIF(Hoja1!A:A, I43)</f>
        <v>0</v>
      </c>
      <c r="K43">
        <v>1</v>
      </c>
      <c r="L43" s="4">
        <v>7</v>
      </c>
    </row>
    <row r="44" spans="1:12" ht="28.2" customHeight="1" thickBot="1" x14ac:dyDescent="0.35">
      <c r="A44" s="14" t="s">
        <v>142</v>
      </c>
      <c r="B44" s="15" t="s">
        <v>161</v>
      </c>
      <c r="C44" s="21" t="s">
        <v>0</v>
      </c>
      <c r="D44" s="21" t="s">
        <v>31</v>
      </c>
      <c r="E44" s="15"/>
      <c r="F44" s="15"/>
      <c r="G44" s="16"/>
      <c r="I44" t="s">
        <v>149</v>
      </c>
      <c r="J44">
        <f>COUNTIF(Hoja1!A:A, I44)</f>
        <v>0</v>
      </c>
      <c r="K44" s="2">
        <v>1</v>
      </c>
      <c r="L44">
        <v>5</v>
      </c>
    </row>
    <row r="45" spans="1:12" ht="28.2" customHeight="1" thickBot="1" x14ac:dyDescent="0.35">
      <c r="A45" s="17" t="s">
        <v>162</v>
      </c>
      <c r="B45" s="18" t="s">
        <v>161</v>
      </c>
      <c r="C45" s="5" t="s">
        <v>0</v>
      </c>
      <c r="D45" s="5" t="s">
        <v>31</v>
      </c>
      <c r="E45" s="18"/>
      <c r="F45" s="18"/>
      <c r="G45" s="19"/>
      <c r="I45" t="s">
        <v>150</v>
      </c>
      <c r="J45">
        <f>COUNTIF(Hoja1!A:A, I45)</f>
        <v>0</v>
      </c>
      <c r="K45" s="2">
        <v>1</v>
      </c>
      <c r="L45">
        <v>5</v>
      </c>
    </row>
    <row r="46" spans="1:12" ht="15" customHeight="1" thickBot="1" x14ac:dyDescent="0.35">
      <c r="A46" s="14" t="s">
        <v>88</v>
      </c>
      <c r="B46" s="15" t="s">
        <v>163</v>
      </c>
      <c r="C46" s="21" t="s">
        <v>0</v>
      </c>
      <c r="D46" s="21" t="s">
        <v>33</v>
      </c>
      <c r="E46" s="15"/>
      <c r="F46" s="15"/>
      <c r="G46" s="16"/>
      <c r="I46" t="s">
        <v>152</v>
      </c>
      <c r="J46">
        <f>COUNTIF(Hoja1!A:A, I46)</f>
        <v>0</v>
      </c>
      <c r="K46" s="2">
        <v>2</v>
      </c>
      <c r="L46">
        <v>5</v>
      </c>
    </row>
    <row r="47" spans="1:12" ht="15" customHeight="1" thickBot="1" x14ac:dyDescent="0.35">
      <c r="A47" s="17" t="s">
        <v>117</v>
      </c>
      <c r="B47" s="18" t="s">
        <v>164</v>
      </c>
      <c r="C47" s="5" t="s">
        <v>0</v>
      </c>
      <c r="D47" s="5" t="s">
        <v>33</v>
      </c>
      <c r="E47" s="18"/>
      <c r="F47" s="18"/>
      <c r="G47" s="19"/>
      <c r="I47" t="s">
        <v>154</v>
      </c>
      <c r="J47">
        <f>COUNTIF(Hoja1!A:A, I47)</f>
        <v>0</v>
      </c>
      <c r="K47">
        <v>2</v>
      </c>
      <c r="L47">
        <v>5</v>
      </c>
    </row>
    <row r="48" spans="1:12" ht="15" customHeight="1" thickBot="1" x14ac:dyDescent="0.35">
      <c r="A48" s="14" t="s">
        <v>144</v>
      </c>
      <c r="B48" s="15" t="s">
        <v>164</v>
      </c>
      <c r="C48" s="21" t="s">
        <v>0</v>
      </c>
      <c r="D48" s="21" t="s">
        <v>33</v>
      </c>
      <c r="E48" s="15"/>
      <c r="F48" s="15"/>
      <c r="G48" s="16"/>
      <c r="I48" t="s">
        <v>156</v>
      </c>
      <c r="J48">
        <f>COUNTIF(Hoja1!A:A, I48)</f>
        <v>0</v>
      </c>
      <c r="K48">
        <v>1</v>
      </c>
      <c r="L48">
        <v>5</v>
      </c>
    </row>
    <row r="49" spans="1:12" ht="15" customHeight="1" thickBot="1" x14ac:dyDescent="0.35">
      <c r="A49" s="17" t="s">
        <v>165</v>
      </c>
      <c r="B49" s="18" t="s">
        <v>164</v>
      </c>
      <c r="C49" s="5" t="s">
        <v>0</v>
      </c>
      <c r="D49" s="5" t="s">
        <v>33</v>
      </c>
      <c r="E49" s="18"/>
      <c r="F49" s="18"/>
      <c r="G49" s="19"/>
      <c r="I49" t="s">
        <v>158</v>
      </c>
      <c r="J49">
        <f>COUNTIF(Hoja1!A:A, I49)</f>
        <v>0</v>
      </c>
      <c r="K49">
        <v>1</v>
      </c>
      <c r="L49">
        <v>5</v>
      </c>
    </row>
    <row r="50" spans="1:12" ht="28.2" customHeight="1" thickBot="1" x14ac:dyDescent="0.35">
      <c r="A50" s="14" t="s">
        <v>91</v>
      </c>
      <c r="B50" s="15" t="s">
        <v>169</v>
      </c>
      <c r="C50" s="21" t="s">
        <v>35</v>
      </c>
      <c r="D50" s="21" t="s">
        <v>36</v>
      </c>
      <c r="E50" s="15"/>
      <c r="F50" s="15"/>
      <c r="G50" s="16"/>
      <c r="I50" t="s">
        <v>126</v>
      </c>
      <c r="J50">
        <f>COUNTIF(Hoja1!A:A, I50)</f>
        <v>0</v>
      </c>
      <c r="K50">
        <v>1</v>
      </c>
      <c r="L50">
        <v>5</v>
      </c>
    </row>
    <row r="51" spans="1:12" ht="28.2" customHeight="1" thickBot="1" x14ac:dyDescent="0.35">
      <c r="A51" s="17" t="s">
        <v>120</v>
      </c>
      <c r="B51" s="18" t="s">
        <v>171</v>
      </c>
      <c r="C51" s="5" t="s">
        <v>35</v>
      </c>
      <c r="D51" s="5" t="s">
        <v>36</v>
      </c>
      <c r="E51" s="18"/>
      <c r="F51" s="18"/>
      <c r="G51" s="19"/>
      <c r="I51" t="s">
        <v>160</v>
      </c>
      <c r="J51">
        <f>COUNTIF(Hoja1!A:A, I51)</f>
        <v>0</v>
      </c>
      <c r="K51">
        <v>1</v>
      </c>
      <c r="L51">
        <v>5</v>
      </c>
    </row>
    <row r="52" spans="1:12" ht="42" customHeight="1" thickBot="1" x14ac:dyDescent="0.35">
      <c r="A52" s="14" t="s">
        <v>146</v>
      </c>
      <c r="B52" s="15" t="s">
        <v>173</v>
      </c>
      <c r="C52" s="21" t="s">
        <v>35</v>
      </c>
      <c r="D52" s="21" t="s">
        <v>36</v>
      </c>
      <c r="E52" s="15"/>
      <c r="F52" s="15"/>
      <c r="G52" s="16"/>
      <c r="I52" t="s">
        <v>134</v>
      </c>
      <c r="J52">
        <f>COUNTIF(Hoja1!A:A, I52)</f>
        <v>0</v>
      </c>
      <c r="K52">
        <v>1</v>
      </c>
      <c r="L52">
        <v>5</v>
      </c>
    </row>
    <row r="53" spans="1:12" ht="15" customHeight="1" thickBot="1" x14ac:dyDescent="0.35">
      <c r="A53" s="17" t="s">
        <v>75</v>
      </c>
      <c r="B53" s="18" t="s">
        <v>176</v>
      </c>
      <c r="C53" s="5" t="s">
        <v>35</v>
      </c>
      <c r="D53" s="5" t="s">
        <v>38</v>
      </c>
      <c r="E53" s="18"/>
      <c r="F53" s="18"/>
      <c r="G53" s="19"/>
      <c r="I53" t="s">
        <v>140</v>
      </c>
      <c r="J53">
        <f>COUNTIF(Hoja1!A:A, I53)</f>
        <v>0</v>
      </c>
      <c r="K53">
        <v>1</v>
      </c>
      <c r="L53">
        <v>5</v>
      </c>
    </row>
    <row r="54" spans="1:12" ht="15" customHeight="1" thickBot="1" x14ac:dyDescent="0.35">
      <c r="A54" s="14" t="s">
        <v>123</v>
      </c>
      <c r="B54" s="15" t="s">
        <v>178</v>
      </c>
      <c r="C54" s="24" t="s">
        <v>35</v>
      </c>
      <c r="D54" s="25" t="s">
        <v>38</v>
      </c>
      <c r="E54" s="15"/>
      <c r="F54" s="15"/>
      <c r="G54" s="16"/>
      <c r="I54" t="s">
        <v>148</v>
      </c>
      <c r="J54">
        <f>COUNTIF(Hoja1!A:A, I54)</f>
        <v>0</v>
      </c>
      <c r="K54">
        <v>2</v>
      </c>
      <c r="L54">
        <v>5</v>
      </c>
    </row>
    <row r="55" spans="1:12" ht="15" customHeight="1" thickBot="1" x14ac:dyDescent="0.35">
      <c r="A55" s="17" t="s">
        <v>147</v>
      </c>
      <c r="B55" s="18" t="s">
        <v>180</v>
      </c>
      <c r="C55" s="5" t="s">
        <v>35</v>
      </c>
      <c r="D55" s="5" t="s">
        <v>38</v>
      </c>
      <c r="E55" s="18"/>
      <c r="F55" s="18"/>
      <c r="G55" s="19"/>
      <c r="I55" t="s">
        <v>157</v>
      </c>
      <c r="J55">
        <f>COUNTIF(Hoja1!A:A, I55)</f>
        <v>0</v>
      </c>
      <c r="K55">
        <v>2</v>
      </c>
      <c r="L55">
        <v>5</v>
      </c>
    </row>
    <row r="56" spans="1:12" ht="28.2" customHeight="1" thickBot="1" x14ac:dyDescent="0.35">
      <c r="A56" s="14" t="s">
        <v>89</v>
      </c>
      <c r="B56" s="15" t="s">
        <v>183</v>
      </c>
      <c r="C56" s="21" t="s">
        <v>39</v>
      </c>
      <c r="D56" s="21" t="s">
        <v>40</v>
      </c>
      <c r="E56" s="15"/>
      <c r="F56" s="15"/>
      <c r="G56" s="16"/>
      <c r="I56" t="s">
        <v>162</v>
      </c>
      <c r="J56">
        <f>COUNTIF(Hoja1!A:A, I56)</f>
        <v>0</v>
      </c>
      <c r="K56">
        <v>2</v>
      </c>
      <c r="L56">
        <v>5</v>
      </c>
    </row>
    <row r="57" spans="1:12" ht="15" customHeight="1" thickBot="1" x14ac:dyDescent="0.35">
      <c r="A57" s="17" t="s">
        <v>125</v>
      </c>
      <c r="B57" s="18" t="s">
        <v>185</v>
      </c>
      <c r="C57" s="5" t="s">
        <v>39</v>
      </c>
      <c r="D57" s="5" t="s">
        <v>40</v>
      </c>
      <c r="E57" s="18"/>
      <c r="F57" s="18"/>
      <c r="G57" s="19"/>
      <c r="I57" t="s">
        <v>165</v>
      </c>
      <c r="J57">
        <f>COUNTIF(Hoja1!A:A, I57)</f>
        <v>0</v>
      </c>
      <c r="K57">
        <v>2</v>
      </c>
      <c r="L57">
        <v>5</v>
      </c>
    </row>
    <row r="58" spans="1:12" ht="15" customHeight="1" thickBot="1" x14ac:dyDescent="0.35">
      <c r="A58" s="14" t="s">
        <v>149</v>
      </c>
      <c r="B58" s="15" t="s">
        <v>187</v>
      </c>
      <c r="C58" s="21" t="s">
        <v>39</v>
      </c>
      <c r="D58" s="21" t="s">
        <v>40</v>
      </c>
      <c r="E58" s="15"/>
      <c r="F58" s="15"/>
      <c r="G58" s="16"/>
      <c r="I58" t="s">
        <v>166</v>
      </c>
      <c r="J58">
        <f>COUNTIF(Hoja1!A:A, I58)</f>
        <v>0</v>
      </c>
      <c r="K58">
        <v>2</v>
      </c>
      <c r="L58">
        <v>5</v>
      </c>
    </row>
    <row r="59" spans="1:12" ht="28.2" customHeight="1" thickBot="1" x14ac:dyDescent="0.35">
      <c r="A59" s="17" t="s">
        <v>97</v>
      </c>
      <c r="B59" s="18" t="s">
        <v>190</v>
      </c>
      <c r="C59" s="5" t="s">
        <v>39</v>
      </c>
      <c r="D59" s="5" t="s">
        <v>42</v>
      </c>
      <c r="E59" s="18"/>
      <c r="F59" s="18"/>
      <c r="G59" s="19"/>
      <c r="I59" t="s">
        <v>167</v>
      </c>
      <c r="J59">
        <f>COUNTIF(Hoja1!A:A, I59)</f>
        <v>0</v>
      </c>
      <c r="K59">
        <v>1</v>
      </c>
      <c r="L59" s="4">
        <v>7</v>
      </c>
    </row>
    <row r="60" spans="1:12" ht="28.2" customHeight="1" thickBot="1" x14ac:dyDescent="0.35">
      <c r="A60" s="14" t="s">
        <v>128</v>
      </c>
      <c r="B60" s="15" t="s">
        <v>190</v>
      </c>
      <c r="C60" s="21" t="s">
        <v>39</v>
      </c>
      <c r="D60" s="21" t="s">
        <v>42</v>
      </c>
      <c r="E60" s="15"/>
      <c r="F60" s="15"/>
      <c r="G60" s="16"/>
      <c r="I60" t="s">
        <v>168</v>
      </c>
      <c r="J60">
        <f>COUNTIF(Hoja1!A:A, I60)</f>
        <v>0</v>
      </c>
      <c r="K60">
        <v>1</v>
      </c>
      <c r="L60">
        <v>7</v>
      </c>
    </row>
    <row r="61" spans="1:12" ht="28.2" customHeight="1" thickBot="1" x14ac:dyDescent="0.35">
      <c r="A61" s="17" t="s">
        <v>150</v>
      </c>
      <c r="B61" s="18" t="s">
        <v>193</v>
      </c>
      <c r="C61" s="5" t="s">
        <v>39</v>
      </c>
      <c r="D61" s="5" t="s">
        <v>42</v>
      </c>
      <c r="E61" s="18"/>
      <c r="F61" s="18"/>
      <c r="G61" s="19"/>
      <c r="I61" t="s">
        <v>170</v>
      </c>
      <c r="J61">
        <f>COUNTIF(Hoja1!A:A, I61)</f>
        <v>0</v>
      </c>
      <c r="K61">
        <v>1</v>
      </c>
      <c r="L61">
        <v>7</v>
      </c>
    </row>
    <row r="62" spans="1:12" ht="15" customHeight="1" thickBot="1" x14ac:dyDescent="0.35">
      <c r="A62" s="14" t="s">
        <v>84</v>
      </c>
      <c r="B62" s="15" t="s">
        <v>196</v>
      </c>
      <c r="C62" s="21" t="s">
        <v>39</v>
      </c>
      <c r="D62" s="21" t="s">
        <v>44</v>
      </c>
      <c r="E62" s="15"/>
      <c r="F62" s="15"/>
      <c r="G62" s="16"/>
      <c r="I62" t="s">
        <v>172</v>
      </c>
      <c r="J62">
        <f>COUNTIF(Hoja1!A:A, I62)</f>
        <v>0</v>
      </c>
      <c r="K62">
        <v>1</v>
      </c>
      <c r="L62">
        <v>5</v>
      </c>
    </row>
    <row r="63" spans="1:12" ht="15" customHeight="1" thickBot="1" x14ac:dyDescent="0.35">
      <c r="A63" s="17" t="s">
        <v>129</v>
      </c>
      <c r="B63" s="18" t="s">
        <v>196</v>
      </c>
      <c r="C63" s="5" t="s">
        <v>39</v>
      </c>
      <c r="D63" s="5" t="s">
        <v>44</v>
      </c>
      <c r="E63" s="18"/>
      <c r="F63" s="18"/>
      <c r="G63" s="19"/>
      <c r="I63" t="s">
        <v>174</v>
      </c>
      <c r="J63">
        <f>COUNTIF(Hoja1!A:A, I63)</f>
        <v>0</v>
      </c>
      <c r="K63">
        <v>1</v>
      </c>
      <c r="L63">
        <v>5</v>
      </c>
    </row>
    <row r="64" spans="1:12" ht="15" customHeight="1" thickBot="1" x14ac:dyDescent="0.35">
      <c r="A64" s="14" t="s">
        <v>152</v>
      </c>
      <c r="B64" s="15" t="s">
        <v>198</v>
      </c>
      <c r="C64" s="21" t="s">
        <v>39</v>
      </c>
      <c r="D64" s="21" t="s">
        <v>44</v>
      </c>
      <c r="E64" s="15"/>
      <c r="F64" s="15"/>
      <c r="G64" s="16"/>
      <c r="I64" t="s">
        <v>175</v>
      </c>
      <c r="J64">
        <f>COUNTIF(Hoja1!A:A, I64)</f>
        <v>0</v>
      </c>
      <c r="K64">
        <v>2</v>
      </c>
      <c r="L64">
        <v>5</v>
      </c>
    </row>
    <row r="65" spans="1:12" ht="15" customHeight="1" thickBot="1" x14ac:dyDescent="0.35">
      <c r="A65" s="17" t="s">
        <v>100</v>
      </c>
      <c r="B65" s="18" t="s">
        <v>199</v>
      </c>
      <c r="C65" s="5" t="s">
        <v>39</v>
      </c>
      <c r="D65" s="5" t="s">
        <v>46</v>
      </c>
      <c r="E65" s="18"/>
      <c r="F65" s="18"/>
      <c r="G65" s="19"/>
      <c r="I65" t="s">
        <v>177</v>
      </c>
      <c r="J65">
        <f>COUNTIF(Hoja1!A:A, I65)</f>
        <v>0</v>
      </c>
      <c r="K65">
        <v>2</v>
      </c>
      <c r="L65">
        <v>5</v>
      </c>
    </row>
    <row r="66" spans="1:12" ht="28.2" customHeight="1" thickBot="1" x14ac:dyDescent="0.35">
      <c r="A66" s="14" t="s">
        <v>81</v>
      </c>
      <c r="B66" s="15" t="s">
        <v>199</v>
      </c>
      <c r="C66" s="24" t="s">
        <v>39</v>
      </c>
      <c r="D66" s="25" t="s">
        <v>46</v>
      </c>
      <c r="E66" s="15"/>
      <c r="F66" s="15"/>
      <c r="G66" s="16"/>
      <c r="I66" t="s">
        <v>179</v>
      </c>
      <c r="J66">
        <f>COUNTIF(Hoja1!A:A, I66)</f>
        <v>0</v>
      </c>
      <c r="K66">
        <v>2</v>
      </c>
      <c r="L66">
        <v>5</v>
      </c>
    </row>
    <row r="67" spans="1:12" ht="28.2" customHeight="1" thickBot="1" x14ac:dyDescent="0.35">
      <c r="A67" s="17" t="s">
        <v>154</v>
      </c>
      <c r="B67" s="18" t="s">
        <v>200</v>
      </c>
      <c r="C67" s="5" t="s">
        <v>39</v>
      </c>
      <c r="D67" s="5" t="s">
        <v>46</v>
      </c>
      <c r="E67" s="18"/>
      <c r="F67" s="18"/>
      <c r="G67" s="19"/>
      <c r="I67" t="s">
        <v>181</v>
      </c>
      <c r="J67">
        <f>COUNTIF(Hoja1!A:A, I67)</f>
        <v>0</v>
      </c>
      <c r="K67">
        <v>1</v>
      </c>
      <c r="L67">
        <v>5</v>
      </c>
    </row>
    <row r="68" spans="1:12" ht="42" customHeight="1" thickBot="1" x14ac:dyDescent="0.35">
      <c r="A68" s="14" t="s">
        <v>103</v>
      </c>
      <c r="B68" s="15" t="s">
        <v>201</v>
      </c>
      <c r="C68" s="21" t="s">
        <v>48</v>
      </c>
      <c r="D68" s="21" t="s">
        <v>49</v>
      </c>
      <c r="E68" s="15"/>
      <c r="F68" s="15"/>
      <c r="G68" s="16"/>
      <c r="I68" t="s">
        <v>182</v>
      </c>
      <c r="J68">
        <f>COUNTIF(Hoja1!A:A, I68)</f>
        <v>0</v>
      </c>
      <c r="K68">
        <v>1</v>
      </c>
      <c r="L68">
        <v>5</v>
      </c>
    </row>
    <row r="69" spans="1:12" ht="15" customHeight="1" thickBot="1" x14ac:dyDescent="0.35">
      <c r="A69" s="17" t="s">
        <v>132</v>
      </c>
      <c r="B69" s="18" t="s">
        <v>201</v>
      </c>
      <c r="C69" s="5" t="s">
        <v>48</v>
      </c>
      <c r="D69" s="5" t="s">
        <v>49</v>
      </c>
      <c r="E69" s="18"/>
      <c r="F69" s="18"/>
      <c r="G69" s="19"/>
      <c r="I69" t="s">
        <v>184</v>
      </c>
      <c r="J69">
        <f>COUNTIF(Hoja1!A:A, I69)</f>
        <v>0</v>
      </c>
      <c r="K69" s="3">
        <v>1</v>
      </c>
      <c r="L69">
        <v>5</v>
      </c>
    </row>
    <row r="70" spans="1:12" ht="15" customHeight="1" thickBot="1" x14ac:dyDescent="0.35">
      <c r="A70" s="14" t="s">
        <v>156</v>
      </c>
      <c r="B70" s="15" t="s">
        <v>202</v>
      </c>
      <c r="C70" s="21" t="s">
        <v>48</v>
      </c>
      <c r="D70" s="21" t="s">
        <v>49</v>
      </c>
      <c r="E70" s="15"/>
      <c r="F70" s="15"/>
      <c r="G70" s="16"/>
      <c r="I70" t="s">
        <v>186</v>
      </c>
      <c r="J70">
        <f>COUNTIF(Hoja1!A:A, I70)</f>
        <v>0</v>
      </c>
      <c r="K70">
        <v>1</v>
      </c>
      <c r="L70">
        <v>5</v>
      </c>
    </row>
    <row r="71" spans="1:12" ht="15" customHeight="1" thickBot="1" x14ac:dyDescent="0.35">
      <c r="A71" s="17" t="s">
        <v>104</v>
      </c>
      <c r="B71" s="18" t="s">
        <v>203</v>
      </c>
      <c r="C71" s="5" t="s">
        <v>48</v>
      </c>
      <c r="D71" s="5" t="s">
        <v>51</v>
      </c>
      <c r="E71" s="18"/>
      <c r="F71" s="18"/>
      <c r="G71" s="19"/>
      <c r="I71" t="s">
        <v>188</v>
      </c>
      <c r="J71">
        <f>COUNTIF(Hoja1!A:A, I71)</f>
        <v>0</v>
      </c>
      <c r="K71">
        <v>1</v>
      </c>
      <c r="L71">
        <v>5</v>
      </c>
    </row>
    <row r="72" spans="1:12" ht="28.2" customHeight="1" thickBot="1" x14ac:dyDescent="0.35">
      <c r="A72" s="14" t="s">
        <v>70</v>
      </c>
      <c r="B72" s="15" t="s">
        <v>204</v>
      </c>
      <c r="C72" s="21" t="s">
        <v>48</v>
      </c>
      <c r="D72" s="21" t="s">
        <v>51</v>
      </c>
      <c r="E72" s="15"/>
      <c r="F72" s="15"/>
      <c r="G72" s="16"/>
      <c r="I72" t="s">
        <v>189</v>
      </c>
      <c r="J72">
        <f>COUNTIF(Hoja1!A:A, I72)</f>
        <v>0</v>
      </c>
      <c r="K72">
        <v>2</v>
      </c>
      <c r="L72">
        <v>5</v>
      </c>
    </row>
    <row r="73" spans="1:12" ht="15" customHeight="1" thickBot="1" x14ac:dyDescent="0.35">
      <c r="A73" s="17" t="s">
        <v>158</v>
      </c>
      <c r="B73" s="18" t="s">
        <v>205</v>
      </c>
      <c r="C73" s="5" t="s">
        <v>48</v>
      </c>
      <c r="D73" s="5" t="s">
        <v>51</v>
      </c>
      <c r="E73" s="18"/>
      <c r="F73" s="18"/>
      <c r="G73" s="19"/>
      <c r="I73" t="s">
        <v>191</v>
      </c>
      <c r="J73">
        <f>COUNTIF(Hoja1!A:A, I73)</f>
        <v>0</v>
      </c>
      <c r="K73">
        <v>1</v>
      </c>
      <c r="L73">
        <v>5</v>
      </c>
    </row>
    <row r="74" spans="1:12" ht="15" customHeight="1" x14ac:dyDescent="0.3">
      <c r="I74" t="s">
        <v>192</v>
      </c>
      <c r="J74">
        <f>COUNTIF(Hoja1!A:A, I74)</f>
        <v>0</v>
      </c>
      <c r="K74">
        <v>1</v>
      </c>
      <c r="L74">
        <v>5</v>
      </c>
    </row>
    <row r="75" spans="1:12" ht="28.2" customHeight="1" x14ac:dyDescent="0.3">
      <c r="I75" t="s">
        <v>194</v>
      </c>
      <c r="J75">
        <f>COUNTIF(Hoja1!A:A, I75)</f>
        <v>0</v>
      </c>
      <c r="K75">
        <v>2</v>
      </c>
      <c r="L75">
        <v>5</v>
      </c>
    </row>
    <row r="76" spans="1:12" ht="28.2" customHeight="1" x14ac:dyDescent="0.3">
      <c r="I76" t="s">
        <v>195</v>
      </c>
      <c r="J76">
        <f>COUNTIF(Hoja1!A:A, I76)</f>
        <v>0</v>
      </c>
      <c r="K76">
        <v>2</v>
      </c>
      <c r="L76">
        <v>5</v>
      </c>
    </row>
    <row r="77" spans="1:12" ht="28.2" customHeight="1" x14ac:dyDescent="0.3">
      <c r="I77" t="s">
        <v>197</v>
      </c>
      <c r="J77">
        <f>COUNTIF(Hoja1!A:A, I77)</f>
        <v>0</v>
      </c>
      <c r="K77">
        <v>1</v>
      </c>
      <c r="L77">
        <v>5</v>
      </c>
    </row>
    <row r="78" spans="1:12" ht="15" customHeight="1" x14ac:dyDescent="0.3"/>
    <row r="79" spans="1:12" ht="15" customHeight="1" x14ac:dyDescent="0.3"/>
    <row r="80" spans="1:12" ht="15" customHeight="1" x14ac:dyDescent="0.3"/>
    <row r="81" ht="15" customHeight="1" x14ac:dyDescent="0.3"/>
    <row r="82" ht="28.2" customHeight="1" x14ac:dyDescent="0.3"/>
    <row r="83" ht="28.2" customHeight="1" x14ac:dyDescent="0.3"/>
    <row r="84" ht="42" customHeight="1" x14ac:dyDescent="0.3"/>
    <row r="85" ht="15" customHeight="1" x14ac:dyDescent="0.3"/>
    <row r="86" ht="15" customHeight="1" x14ac:dyDescent="0.3"/>
    <row r="87" ht="15" customHeight="1" x14ac:dyDescent="0.3"/>
    <row r="88" ht="28.2" customHeight="1" x14ac:dyDescent="0.3"/>
    <row r="89" ht="15" customHeight="1" x14ac:dyDescent="0.3"/>
    <row r="90" ht="15" customHeight="1" x14ac:dyDescent="0.3"/>
    <row r="91" ht="28.2" customHeight="1" x14ac:dyDescent="0.3"/>
    <row r="92" ht="28.2" customHeight="1" x14ac:dyDescent="0.3"/>
    <row r="93" ht="28.2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28.2" customHeight="1" x14ac:dyDescent="0.3"/>
    <row r="99" ht="28.2" customHeight="1" x14ac:dyDescent="0.3"/>
    <row r="100" ht="42" customHeight="1" x14ac:dyDescent="0.3"/>
    <row r="101" ht="15" customHeight="1" x14ac:dyDescent="0.3"/>
    <row r="102" ht="15" customHeight="1" x14ac:dyDescent="0.3"/>
    <row r="103" ht="15" customHeight="1" x14ac:dyDescent="0.3"/>
    <row r="104" ht="28.2" customHeight="1" x14ac:dyDescent="0.3"/>
    <row r="105" ht="15" customHeight="1" x14ac:dyDescent="0.3"/>
    <row r="106" ht="15" customHeight="1" x14ac:dyDescent="0.3"/>
    <row r="107" ht="28.2" customHeight="1" x14ac:dyDescent="0.3"/>
    <row r="108" ht="28.2" customHeight="1" x14ac:dyDescent="0.3"/>
    <row r="109" ht="28.2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28.2" customHeight="1" x14ac:dyDescent="0.3"/>
    <row r="115" ht="28.2" customHeight="1" x14ac:dyDescent="0.3"/>
    <row r="116" ht="42" customHeight="1" x14ac:dyDescent="0.3"/>
    <row r="117" ht="15" customHeight="1" x14ac:dyDescent="0.3"/>
    <row r="118" ht="15" customHeight="1" x14ac:dyDescent="0.3"/>
    <row r="119" ht="15" customHeight="1" x14ac:dyDescent="0.3"/>
    <row r="120" ht="28.2" customHeight="1" x14ac:dyDescent="0.3"/>
    <row r="121" ht="15" customHeight="1" x14ac:dyDescent="0.3"/>
    <row r="122" ht="15" customHeight="1" x14ac:dyDescent="0.3"/>
    <row r="123" ht="28.2" customHeight="1" x14ac:dyDescent="0.3"/>
    <row r="124" ht="28.2" customHeight="1" x14ac:dyDescent="0.3"/>
    <row r="125" ht="28.2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28.2" customHeight="1" x14ac:dyDescent="0.3"/>
    <row r="131" ht="28.2" customHeight="1" x14ac:dyDescent="0.3"/>
    <row r="132" ht="42" customHeight="1" x14ac:dyDescent="0.3"/>
    <row r="133" ht="15" customHeight="1" x14ac:dyDescent="0.3"/>
    <row r="134" ht="15" customHeight="1" x14ac:dyDescent="0.3"/>
    <row r="135" ht="15" customHeight="1" x14ac:dyDescent="0.3"/>
    <row r="136" ht="28.2" customHeight="1" x14ac:dyDescent="0.3"/>
    <row r="137" ht="15" customHeight="1" x14ac:dyDescent="0.3"/>
    <row r="138" ht="15" customHeight="1" x14ac:dyDescent="0.3"/>
    <row r="139" ht="28.2" customHeight="1" x14ac:dyDescent="0.3"/>
    <row r="140" ht="28.2" customHeight="1" x14ac:dyDescent="0.3"/>
    <row r="141" ht="28.2" customHeight="1" x14ac:dyDescent="0.3"/>
  </sheetData>
  <conditionalFormatting sqref="J2:J77">
    <cfRule type="cellIs" dxfId="1" priority="1" operator="equal">
      <formula>4</formula>
    </cfRule>
    <cfRule type="cellIs" dxfId="0" priority="2" operator="greaterThanOrEqual">
      <formula>5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C6A8-B99F-4269-B502-6AC918921C7F}">
  <dimension ref="A1:G124"/>
  <sheetViews>
    <sheetView workbookViewId="0">
      <selection sqref="A1:G73"/>
    </sheetView>
  </sheetViews>
  <sheetFormatPr baseColWidth="10" defaultRowHeight="14.4" x14ac:dyDescent="0.3"/>
  <cols>
    <col min="1" max="1" width="30.77734375" bestFit="1" customWidth="1"/>
    <col min="2" max="2" width="19.44140625" bestFit="1" customWidth="1"/>
    <col min="3" max="3" width="8.88671875"/>
    <col min="4" max="4" width="18.88671875" customWidth="1"/>
    <col min="5" max="5" width="8.88671875"/>
    <col min="6" max="6" width="9.77734375" customWidth="1"/>
    <col min="7" max="7" width="8.88671875"/>
  </cols>
  <sheetData>
    <row r="1" spans="1:7" x14ac:dyDescent="0.3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</row>
    <row r="75" spans="3:4" ht="15" thickBot="1" x14ac:dyDescent="0.35"/>
    <row r="76" spans="3:4" ht="15" thickBot="1" x14ac:dyDescent="0.35">
      <c r="C76" s="5"/>
      <c r="D76" s="5"/>
    </row>
    <row r="77" spans="3:4" ht="15" thickBot="1" x14ac:dyDescent="0.35">
      <c r="C77" s="5"/>
      <c r="D77" s="5"/>
    </row>
    <row r="78" spans="3:4" ht="15" thickBot="1" x14ac:dyDescent="0.35">
      <c r="C78" s="5"/>
      <c r="D78" s="5"/>
    </row>
    <row r="79" spans="3:4" ht="15" thickBot="1" x14ac:dyDescent="0.35">
      <c r="C79" s="5"/>
      <c r="D79" s="5"/>
    </row>
    <row r="80" spans="3:4" ht="15" thickBot="1" x14ac:dyDescent="0.35">
      <c r="C80" s="5"/>
      <c r="D80" s="5"/>
    </row>
    <row r="81" spans="3:4" ht="15" thickBot="1" x14ac:dyDescent="0.35">
      <c r="C81" s="5"/>
      <c r="D81" s="5"/>
    </row>
    <row r="82" spans="3:4" ht="15" thickBot="1" x14ac:dyDescent="0.35">
      <c r="C82" s="6"/>
      <c r="D82" s="8"/>
    </row>
    <row r="83" spans="3:4" ht="15" thickBot="1" x14ac:dyDescent="0.35">
      <c r="C83" s="5"/>
      <c r="D83" s="5"/>
    </row>
    <row r="84" spans="3:4" ht="15" thickBot="1" x14ac:dyDescent="0.35">
      <c r="C84" s="5"/>
      <c r="D84" s="5"/>
    </row>
    <row r="85" spans="3:4" ht="15" thickBot="1" x14ac:dyDescent="0.35">
      <c r="C85" s="5"/>
      <c r="D85" s="5"/>
    </row>
    <row r="86" spans="3:4" ht="15" thickBot="1" x14ac:dyDescent="0.35">
      <c r="C86" s="5"/>
      <c r="D86" s="5"/>
    </row>
    <row r="87" spans="3:4" ht="15" thickBot="1" x14ac:dyDescent="0.35">
      <c r="C87" s="5"/>
      <c r="D87" s="5"/>
    </row>
    <row r="88" spans="3:4" ht="15" thickBot="1" x14ac:dyDescent="0.35">
      <c r="C88" s="5"/>
      <c r="D88" s="5"/>
    </row>
    <row r="89" spans="3:4" ht="15" thickBot="1" x14ac:dyDescent="0.35">
      <c r="C89" s="5"/>
      <c r="D89" s="5"/>
    </row>
    <row r="90" spans="3:4" ht="15" thickBot="1" x14ac:dyDescent="0.35">
      <c r="C90" s="5"/>
      <c r="D90" s="5"/>
    </row>
    <row r="91" spans="3:4" ht="15" thickBot="1" x14ac:dyDescent="0.35">
      <c r="C91" s="5"/>
      <c r="D91" s="5"/>
    </row>
    <row r="92" spans="3:4" ht="15" thickBot="1" x14ac:dyDescent="0.35">
      <c r="C92" s="5"/>
      <c r="D92" s="5"/>
    </row>
    <row r="93" spans="3:4" ht="15" thickBot="1" x14ac:dyDescent="0.35">
      <c r="C93" s="5"/>
      <c r="D93" s="5"/>
    </row>
    <row r="94" spans="3:4" ht="15" thickBot="1" x14ac:dyDescent="0.35">
      <c r="C94" s="5"/>
      <c r="D94" s="5"/>
    </row>
    <row r="95" spans="3:4" ht="15" thickBot="1" x14ac:dyDescent="0.35">
      <c r="C95" s="5"/>
      <c r="D95" s="5"/>
    </row>
    <row r="96" spans="3:4" ht="15" thickBot="1" x14ac:dyDescent="0.35">
      <c r="C96" s="5"/>
      <c r="D96" s="5"/>
    </row>
    <row r="97" spans="3:4" ht="15" thickBot="1" x14ac:dyDescent="0.35">
      <c r="C97" s="5"/>
      <c r="D97" s="5"/>
    </row>
    <row r="98" spans="3:4" ht="15" thickBot="1" x14ac:dyDescent="0.35">
      <c r="C98" s="6"/>
      <c r="D98" s="8"/>
    </row>
    <row r="99" spans="3:4" ht="15" thickBot="1" x14ac:dyDescent="0.35">
      <c r="C99" s="5"/>
      <c r="D99" s="5"/>
    </row>
    <row r="100" spans="3:4" ht="15" thickBot="1" x14ac:dyDescent="0.35">
      <c r="C100" s="5"/>
      <c r="D100" s="5"/>
    </row>
    <row r="101" spans="3:4" ht="15" thickBot="1" x14ac:dyDescent="0.35">
      <c r="C101" s="5"/>
      <c r="D101" s="5"/>
    </row>
    <row r="102" spans="3:4" ht="15" thickBot="1" x14ac:dyDescent="0.35">
      <c r="C102" s="5"/>
      <c r="D102" s="5"/>
    </row>
    <row r="103" spans="3:4" ht="15" thickBot="1" x14ac:dyDescent="0.35">
      <c r="C103" s="5"/>
      <c r="D103" s="5"/>
    </row>
    <row r="104" spans="3:4" ht="15" thickBot="1" x14ac:dyDescent="0.35">
      <c r="C104" s="5"/>
      <c r="D104" s="5"/>
    </row>
    <row r="105" spans="3:4" ht="15" thickBot="1" x14ac:dyDescent="0.35">
      <c r="C105" s="5"/>
      <c r="D105" s="5"/>
    </row>
    <row r="106" spans="3:4" ht="15" thickBot="1" x14ac:dyDescent="0.35">
      <c r="C106" s="5"/>
      <c r="D106" s="5"/>
    </row>
    <row r="107" spans="3:4" ht="15" thickBot="1" x14ac:dyDescent="0.35">
      <c r="C107" s="5"/>
      <c r="D107" s="5"/>
    </row>
    <row r="108" spans="3:4" ht="15" thickBot="1" x14ac:dyDescent="0.35">
      <c r="C108" s="5"/>
      <c r="D108" s="5"/>
    </row>
    <row r="109" spans="3:4" ht="15" thickBot="1" x14ac:dyDescent="0.35">
      <c r="C109" s="5"/>
      <c r="D109" s="5"/>
    </row>
    <row r="110" spans="3:4" ht="15" thickBot="1" x14ac:dyDescent="0.35">
      <c r="C110" s="5"/>
      <c r="D110" s="5"/>
    </row>
    <row r="111" spans="3:4" ht="15" thickBot="1" x14ac:dyDescent="0.35">
      <c r="C111" s="5"/>
      <c r="D111" s="5"/>
    </row>
    <row r="112" spans="3:4" ht="15" thickBot="1" x14ac:dyDescent="0.35">
      <c r="C112" s="5"/>
      <c r="D112" s="5"/>
    </row>
    <row r="113" spans="3:4" ht="15" thickBot="1" x14ac:dyDescent="0.35">
      <c r="C113" s="5"/>
      <c r="D113" s="5"/>
    </row>
    <row r="114" spans="3:4" ht="15" thickBot="1" x14ac:dyDescent="0.35">
      <c r="C114" s="6"/>
      <c r="D114" s="8"/>
    </row>
    <row r="115" spans="3:4" ht="15" thickBot="1" x14ac:dyDescent="0.35">
      <c r="C115" s="5"/>
      <c r="D115" s="5"/>
    </row>
    <row r="116" spans="3:4" ht="15" thickBot="1" x14ac:dyDescent="0.35">
      <c r="C116" s="5"/>
      <c r="D116" s="5"/>
    </row>
    <row r="117" spans="3:4" ht="15" thickBot="1" x14ac:dyDescent="0.35">
      <c r="C117" s="5"/>
      <c r="D117" s="5"/>
    </row>
    <row r="118" spans="3:4" ht="15" thickBot="1" x14ac:dyDescent="0.35">
      <c r="C118" s="5"/>
      <c r="D118" s="5"/>
    </row>
    <row r="119" spans="3:4" ht="15" thickBot="1" x14ac:dyDescent="0.35">
      <c r="C119" s="5"/>
      <c r="D119" s="5"/>
    </row>
    <row r="120" spans="3:4" ht="15" thickBot="1" x14ac:dyDescent="0.35">
      <c r="C120" s="5"/>
      <c r="D120" s="5"/>
    </row>
    <row r="121" spans="3:4" ht="15" thickBot="1" x14ac:dyDescent="0.35">
      <c r="C121" s="5"/>
      <c r="D121" s="5"/>
    </row>
    <row r="122" spans="3:4" ht="15" thickBot="1" x14ac:dyDescent="0.35">
      <c r="C122" s="5"/>
      <c r="D122" s="5"/>
    </row>
    <row r="123" spans="3:4" ht="15" thickBot="1" x14ac:dyDescent="0.35">
      <c r="C123" s="5"/>
      <c r="D123" s="5"/>
    </row>
    <row r="124" spans="3:4" ht="15" thickBot="1" x14ac:dyDescent="0.35">
      <c r="C124" s="5"/>
      <c r="D124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>
      <selection activeCell="L5" sqref="L5"/>
    </sheetView>
  </sheetViews>
  <sheetFormatPr baseColWidth="10" defaultColWidth="8.88671875" defaultRowHeight="14.4" x14ac:dyDescent="0.3"/>
  <sheetData>
    <row r="1" spans="1:12" ht="15" customHeight="1" thickBot="1" x14ac:dyDescent="0.35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I1" s="11" t="s">
        <v>60</v>
      </c>
      <c r="J1" s="12" t="s">
        <v>61</v>
      </c>
      <c r="K1" s="12" t="s">
        <v>62</v>
      </c>
      <c r="L1" s="13" t="s">
        <v>63</v>
      </c>
    </row>
    <row r="2" spans="1:12" ht="28.2" customHeight="1" thickBot="1" x14ac:dyDescent="0.35">
      <c r="A2" t="s">
        <v>97</v>
      </c>
      <c r="B2" t="s">
        <v>206</v>
      </c>
      <c r="C2" s="5" t="s">
        <v>20</v>
      </c>
      <c r="D2" s="5" t="s">
        <v>25</v>
      </c>
      <c r="E2" t="s">
        <v>207</v>
      </c>
      <c r="I2">
        <v>1</v>
      </c>
      <c r="J2">
        <v>1</v>
      </c>
      <c r="K2">
        <v>1</v>
      </c>
      <c r="L2">
        <v>2</v>
      </c>
    </row>
    <row r="3" spans="1:12" x14ac:dyDescent="0.3">
      <c r="A3" t="s">
        <v>103</v>
      </c>
      <c r="B3" t="s">
        <v>206</v>
      </c>
      <c r="C3" t="s">
        <v>20</v>
      </c>
      <c r="D3" t="s">
        <v>25</v>
      </c>
      <c r="E3" t="s">
        <v>207</v>
      </c>
      <c r="I3">
        <v>2</v>
      </c>
      <c r="J3">
        <v>2</v>
      </c>
      <c r="K3">
        <v>1</v>
      </c>
      <c r="L3">
        <v>2</v>
      </c>
    </row>
    <row r="4" spans="1:12" x14ac:dyDescent="0.3">
      <c r="A4" t="s">
        <v>207</v>
      </c>
      <c r="B4" t="s">
        <v>206</v>
      </c>
      <c r="C4" t="s">
        <v>20</v>
      </c>
      <c r="D4" t="s">
        <v>25</v>
      </c>
      <c r="E4" t="s">
        <v>207</v>
      </c>
      <c r="I4">
        <v>3</v>
      </c>
      <c r="J4">
        <v>1</v>
      </c>
      <c r="K4">
        <v>2</v>
      </c>
      <c r="L4">
        <v>2</v>
      </c>
    </row>
    <row r="5" spans="1:12" x14ac:dyDescent="0.3">
      <c r="I5">
        <v>4</v>
      </c>
      <c r="J5">
        <v>1</v>
      </c>
      <c r="K5">
        <v>2</v>
      </c>
      <c r="L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Coordenadas</vt:lpstr>
      <vt:lpstr>2025-2026</vt:lpstr>
      <vt:lpstr>Hoja1</vt:lpstr>
      <vt:lpstr>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Arias Antúnez</dc:creator>
  <cp:lastModifiedBy>MARÍA PICAZO SÁNCHEZ</cp:lastModifiedBy>
  <dcterms:created xsi:type="dcterms:W3CDTF">2015-06-05T18:17:20Z</dcterms:created>
  <dcterms:modified xsi:type="dcterms:W3CDTF">2026-04-14T10:30:22Z</dcterms:modified>
</cp:coreProperties>
</file>