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ria\Desktop\"/>
    </mc:Choice>
  </mc:AlternateContent>
  <xr:revisionPtr revIDLastSave="0" documentId="13_ncr:1_{221BE942-3B0C-4198-A79F-04D921E27CF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ordenadas" sheetId="1" r:id="rId1"/>
    <sheet name="2025-2026" sheetId="2" r:id="rId2"/>
    <sheet name="Asignaturas" sheetId="3" r:id="rId3"/>
    <sheet name="2024-2025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3" l="1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<sst xmlns="http://schemas.openxmlformats.org/spreadsheetml/2006/main" count="243" uniqueCount="155">
  <si>
    <t>Asignatura</t>
  </si>
  <si>
    <t>Estudiante</t>
  </si>
  <si>
    <t>Origen</t>
  </si>
  <si>
    <t>Universidad Origen</t>
  </si>
  <si>
    <t>Cuat</t>
  </si>
  <si>
    <t>Firmado</t>
  </si>
  <si>
    <t>LA</t>
  </si>
  <si>
    <t>1</t>
  </si>
  <si>
    <t>Diseño Gráfico y Animación</t>
  </si>
  <si>
    <t>Jordania</t>
  </si>
  <si>
    <t>HTU</t>
  </si>
  <si>
    <t>x</t>
  </si>
  <si>
    <t>Dispositivos y Redes Inalámbricos</t>
  </si>
  <si>
    <t>Bases de Datos - I</t>
  </si>
  <si>
    <t>Italia</t>
  </si>
  <si>
    <t>Unimore</t>
  </si>
  <si>
    <t>un_enlace.pdf</t>
  </si>
  <si>
    <t>Estructura de Computadores - A</t>
  </si>
  <si>
    <t>Fundamentos de Programación II - A</t>
  </si>
  <si>
    <t>Comercio Electrónico</t>
  </si>
  <si>
    <t>Fundamentos Físicos - B</t>
  </si>
  <si>
    <t>Alemania</t>
  </si>
  <si>
    <t>Bonn-Rhein-Sieg</t>
  </si>
  <si>
    <t>Chile</t>
  </si>
  <si>
    <t>UMAG</t>
  </si>
  <si>
    <t>Duoc UC - Plaza Norte</t>
  </si>
  <si>
    <t>Colombia</t>
  </si>
  <si>
    <t>Universidad Libre</t>
  </si>
  <si>
    <t>Calidad de los Sistemas SW</t>
  </si>
  <si>
    <t>Francia</t>
  </si>
  <si>
    <t>ESAIP</t>
  </si>
  <si>
    <t>Petra.pdf</t>
  </si>
  <si>
    <t>Diseño de Software</t>
  </si>
  <si>
    <t>2</t>
  </si>
  <si>
    <t>Petra2.pdf</t>
  </si>
  <si>
    <t>fgbvertb</t>
  </si>
  <si>
    <t>31.9800,35.8540</t>
  </si>
  <si>
    <t>50.78108, 7.18062</t>
  </si>
  <si>
    <t>-53.1441,-70.9306</t>
  </si>
  <si>
    <t>-33.3661, -70.6787</t>
  </si>
  <si>
    <t>4.6127,-74.0705</t>
  </si>
  <si>
    <t>47.4700,-0.5040</t>
  </si>
  <si>
    <t>Georgia</t>
  </si>
  <si>
    <t>Business and Technology University</t>
  </si>
  <si>
    <t>41.7150,44.7800</t>
  </si>
  <si>
    <t>44.6450,10.9250</t>
  </si>
  <si>
    <t>Udine</t>
  </si>
  <si>
    <t>46.0635,13.2372</t>
  </si>
  <si>
    <t>Pol. Milan</t>
  </si>
  <si>
    <t>45.4781,9.2284</t>
  </si>
  <si>
    <t>Degli Studi di Sassari</t>
  </si>
  <si>
    <t>40.7242,8.5600</t>
  </si>
  <si>
    <t>University of Petra</t>
  </si>
  <si>
    <t>31.7326,35.8299</t>
  </si>
  <si>
    <t>Yarmouk University</t>
  </si>
  <si>
    <t>32.4833,36.0000</t>
  </si>
  <si>
    <t>Amman Arab University</t>
  </si>
  <si>
    <t>32.0072,35.9068</t>
  </si>
  <si>
    <t>Letonia</t>
  </si>
  <si>
    <t>Faculty of Eng. and IT</t>
  </si>
  <si>
    <t>56.6510,23.7210</t>
  </si>
  <si>
    <t>Life Sciences and Tech</t>
  </si>
  <si>
    <t>México</t>
  </si>
  <si>
    <t>TEC</t>
  </si>
  <si>
    <t>25.6541,-100.2766</t>
  </si>
  <si>
    <t>Chiapas</t>
  </si>
  <si>
    <t>16.7516,-93.1160</t>
  </si>
  <si>
    <t>UA Zacatecas</t>
  </si>
  <si>
    <t>22.7709,-102.5832</t>
  </si>
  <si>
    <t>Nuevo León</t>
  </si>
  <si>
    <t>25.7246,-100.3114</t>
  </si>
  <si>
    <t>Turquía</t>
  </si>
  <si>
    <t>Faculty of Engineering</t>
  </si>
  <si>
    <t>41.0254,28.9470</t>
  </si>
  <si>
    <t>Kadir Has University</t>
  </si>
  <si>
    <t>Asignaturas</t>
  </si>
  <si>
    <t>Matriculados</t>
  </si>
  <si>
    <t>Cuatrimestre</t>
  </si>
  <si>
    <t>Cupo</t>
  </si>
  <si>
    <t xml:space="preserve">(MUII) Gestión de Auditoría y Seguridad </t>
  </si>
  <si>
    <t>(MUII) Sistemas y Servicios en la Nube</t>
  </si>
  <si>
    <t>Aceleradores Gráficos</t>
  </si>
  <si>
    <t>Álgebra</t>
  </si>
  <si>
    <t>Álgebra y Matemática Discreta - A</t>
  </si>
  <si>
    <t>Álgebra y Matemática Discreta - I</t>
  </si>
  <si>
    <t>Arquitectura de Computadores - I</t>
  </si>
  <si>
    <t>Auditoría Sistemas Información</t>
  </si>
  <si>
    <t>Bases de Datos - A</t>
  </si>
  <si>
    <t>Cálculo y Métodos Numéricos - I</t>
  </si>
  <si>
    <t>Criptografía</t>
  </si>
  <si>
    <t>Diseño de Sistemas Interactivos</t>
  </si>
  <si>
    <t>Estadística - I</t>
  </si>
  <si>
    <t>Estructura de Computadores - I</t>
  </si>
  <si>
    <t>Estructura de Datos - A</t>
  </si>
  <si>
    <t>Estructura de Datos - I</t>
  </si>
  <si>
    <t>Fundamentos de Gestión Empresarial - A</t>
  </si>
  <si>
    <t>Fundamentos de Gestión Empresarial - B</t>
  </si>
  <si>
    <t>Fundamentos de Gestión Empresarial - C</t>
  </si>
  <si>
    <t>Fundamentos de Gestión Empresarial - I</t>
  </si>
  <si>
    <t>Fundamentos de Programación I - A</t>
  </si>
  <si>
    <t>Fundamentos de Programación I - I</t>
  </si>
  <si>
    <t>Fundamentos de Programación II - I</t>
  </si>
  <si>
    <t>Fundamentos Físicos - I</t>
  </si>
  <si>
    <t>Gestión de proyectos software</t>
  </si>
  <si>
    <t>Gestión de Sistemas de información</t>
  </si>
  <si>
    <t>Ingeniería del Software I - I</t>
  </si>
  <si>
    <t>Ingeniería del Software II - I</t>
  </si>
  <si>
    <t>Ingeniería Web y de Servicios</t>
  </si>
  <si>
    <t>Inteligencia Artificial en Videojuegos</t>
  </si>
  <si>
    <t>Interacción Persona Ordenador I - A</t>
  </si>
  <si>
    <t>Interacción Persona Ordenador I - B</t>
  </si>
  <si>
    <t>Interacción Persona Ordenador I - I</t>
  </si>
  <si>
    <t>Lógica - B</t>
  </si>
  <si>
    <t>Lógica - I</t>
  </si>
  <si>
    <t>Metodología de la Programación - A</t>
  </si>
  <si>
    <t>Metodología de la Programación - I</t>
  </si>
  <si>
    <t>Minería de datos</t>
  </si>
  <si>
    <t>Multimedia</t>
  </si>
  <si>
    <t>Organización de Computadores - I</t>
  </si>
  <si>
    <t>Planificación e Integración de Sistemas</t>
  </si>
  <si>
    <t>Procesadores de Lenguajes</t>
  </si>
  <si>
    <t>Procesos de Ingeniería del SW</t>
  </si>
  <si>
    <t>Programación Concurrente y Tiempo Real</t>
  </si>
  <si>
    <t>Programación Declarativa</t>
  </si>
  <si>
    <t>Redes de Computadores I - A</t>
  </si>
  <si>
    <t>Redes de Computadores I - I</t>
  </si>
  <si>
    <t>Robótica Autónoma</t>
  </si>
  <si>
    <t>Seguridad de Sistemas Software</t>
  </si>
  <si>
    <t>Seguridad en redes</t>
  </si>
  <si>
    <t>Seguridad en Sistemas Informáticos</t>
  </si>
  <si>
    <t>Sistemas  Distribuidos -  B</t>
  </si>
  <si>
    <t>Sistemas  Distribuidos - A</t>
  </si>
  <si>
    <t>Sistemas Basados en el Conocimiento</t>
  </si>
  <si>
    <t>Sistemas de Información - A</t>
  </si>
  <si>
    <t>Sistemas de Información - I</t>
  </si>
  <si>
    <t>Sistemas Empotrados</t>
  </si>
  <si>
    <t>Sistemas Inteligentes - A</t>
  </si>
  <si>
    <t>Sistemas Inteligentes - I</t>
  </si>
  <si>
    <t>Sistemas Multiagentes</t>
  </si>
  <si>
    <t>Sistemas Operativos I - A</t>
  </si>
  <si>
    <t>Sistemas Operativos II</t>
  </si>
  <si>
    <t>Tecnología de Computadores - B</t>
  </si>
  <si>
    <t>Tecnologías y sistemas web</t>
  </si>
  <si>
    <t>Teoría de Autómatas y Computación</t>
  </si>
  <si>
    <t>Videojuegos y Realidad Virtual</t>
  </si>
  <si>
    <t>Visión artificial y reconocimiento de patrones</t>
  </si>
  <si>
    <t>Youseff Prueba</t>
  </si>
  <si>
    <t>Andrea Prueba</t>
  </si>
  <si>
    <t>Berto Prueba</t>
  </si>
  <si>
    <t>Fran Prueba</t>
  </si>
  <si>
    <t>Martha Prueba</t>
  </si>
  <si>
    <t>Lucia Prueba</t>
  </si>
  <si>
    <t>Lola Prueba</t>
  </si>
  <si>
    <t>William Prueba</t>
  </si>
  <si>
    <t>Prueba 1 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</si>
</sst>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Georgia"/>
      <family val="1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2" borderId="0" xfId="0" applyFill="1"/>
    <xf numFmtId="0" fontId="0" fillId="3" borderId="0" xfId="0" applyFill="1"/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2" xfId="0" applyFont="1" applyBorder="1"/>
    <xf numFmtId="0" fontId="2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top"/>
    </xf>
    <xf numFmtId="0" fontId="0" fillId="0" borderId="0" xfId="0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4" displayName="Tabla24" ref="A1:D77" totalsRowShown="0" headerRowDxfId="4">
  <autoFilter ref="A1:D77" xr:uid="{00000000-0009-0000-0100-000001000000}"/>
  <sortState xmlns:xlrd2="http://schemas.microsoft.com/office/spreadsheetml/2017/richdata2" ref="A2:D77">
    <sortCondition ref="A1:A77"/>
  </sortState>
  <tableColumns count="4">
    <tableColumn id="1" xr3:uid="{00000000-0010-0000-0000-000001000000}" name="Asignaturas" dataDxfId="3"/>
    <tableColumn id="2" xr3:uid="{00000000-0010-0000-0000-000002000000}" name="Matriculados" dataDxfId="2">
      <calculatedColumnFormula>COUNTIF($A$2:$A$479, A2)</calculatedColumnFormula>
    </tableColumn>
    <tableColumn id="3" xr3:uid="{00000000-0010-0000-0000-000003000000}" name="Cuatrimestre"/>
    <tableColumn id="4" xr3:uid="{00000000-0010-0000-0000-000004000000}" name="Cu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opLeftCell="A7" workbookViewId="0">
      <selection activeCell="A10" sqref="A10:B10"/>
    </sheetView>
  </sheetViews>
  <sheetFormatPr baseColWidth="10" defaultColWidth="11.44140625" defaultRowHeight="14.4" x14ac:dyDescent="0.3"/>
  <cols>
    <col min="2" max="2" width="33.44140625" customWidth="1"/>
    <col min="3" max="3" width="29.6640625" customWidth="1"/>
  </cols>
  <sheetData>
    <row r="1" spans="1:3" ht="15" customHeight="1" thickBot="1" x14ac:dyDescent="0.35">
      <c r="A1" s="5" t="s">
        <v>9</v>
      </c>
      <c r="B1" s="5" t="s">
        <v>10</v>
      </c>
      <c r="C1" s="5" t="s">
        <v>36</v>
      </c>
    </row>
    <row r="2" spans="1:3" ht="16.2" customHeight="1" thickBot="1" x14ac:dyDescent="0.35">
      <c r="A2" s="5" t="s">
        <v>21</v>
      </c>
      <c r="B2" s="7" t="s">
        <v>22</v>
      </c>
      <c r="C2" s="5" t="s">
        <v>37</v>
      </c>
    </row>
    <row r="3" spans="1:3" ht="15" customHeight="1" thickBot="1" x14ac:dyDescent="0.35">
      <c r="A3" s="5" t="s">
        <v>23</v>
      </c>
      <c r="B3" s="5" t="s">
        <v>24</v>
      </c>
      <c r="C3" s="5" t="s">
        <v>38</v>
      </c>
    </row>
    <row r="4" spans="1:3" ht="15" customHeight="1" thickBot="1" x14ac:dyDescent="0.35">
      <c r="A4" s="5" t="s">
        <v>23</v>
      </c>
      <c r="B4" s="5" t="s">
        <v>25</v>
      </c>
      <c r="C4" s="5" t="s">
        <v>39</v>
      </c>
    </row>
    <row r="5" spans="1:3" ht="15" customHeight="1" thickBot="1" x14ac:dyDescent="0.35">
      <c r="A5" s="5" t="s">
        <v>26</v>
      </c>
      <c r="B5" s="5" t="s">
        <v>27</v>
      </c>
      <c r="C5" s="5" t="s">
        <v>40</v>
      </c>
    </row>
    <row r="6" spans="1:3" ht="15" customHeight="1" thickBot="1" x14ac:dyDescent="0.35">
      <c r="A6" s="5" t="s">
        <v>29</v>
      </c>
      <c r="B6" s="5" t="s">
        <v>30</v>
      </c>
      <c r="C6" s="5" t="s">
        <v>41</v>
      </c>
    </row>
    <row r="7" spans="1:3" ht="28.2" customHeight="1" thickBot="1" x14ac:dyDescent="0.35">
      <c r="A7" s="5" t="s">
        <v>42</v>
      </c>
      <c r="B7" s="5" t="s">
        <v>43</v>
      </c>
      <c r="C7" s="5" t="s">
        <v>44</v>
      </c>
    </row>
    <row r="8" spans="1:3" ht="15" customHeight="1" thickBot="1" x14ac:dyDescent="0.35">
      <c r="A8" s="5" t="s">
        <v>14</v>
      </c>
      <c r="B8" s="5" t="s">
        <v>15</v>
      </c>
      <c r="C8" s="5" t="s">
        <v>45</v>
      </c>
    </row>
    <row r="9" spans="1:3" ht="15" customHeight="1" thickBot="1" x14ac:dyDescent="0.35">
      <c r="A9" s="5" t="s">
        <v>14</v>
      </c>
      <c r="B9" s="5" t="s">
        <v>46</v>
      </c>
      <c r="C9" s="5" t="s">
        <v>47</v>
      </c>
    </row>
    <row r="10" spans="1:3" ht="15" customHeight="1" thickBot="1" x14ac:dyDescent="0.35">
      <c r="A10" s="5" t="s">
        <v>14</v>
      </c>
      <c r="B10" s="5" t="s">
        <v>48</v>
      </c>
      <c r="C10" s="5" t="s">
        <v>49</v>
      </c>
    </row>
    <row r="11" spans="1:3" ht="15" customHeight="1" thickBot="1" x14ac:dyDescent="0.35">
      <c r="A11" s="5" t="s">
        <v>14</v>
      </c>
      <c r="B11" s="5" t="s">
        <v>50</v>
      </c>
      <c r="C11" s="5" t="s">
        <v>51</v>
      </c>
    </row>
    <row r="12" spans="1:3" ht="15" customHeight="1" thickBot="1" x14ac:dyDescent="0.35">
      <c r="A12" s="5" t="s">
        <v>9</v>
      </c>
      <c r="B12" s="5" t="s">
        <v>52</v>
      </c>
      <c r="C12" s="5" t="s">
        <v>53</v>
      </c>
    </row>
    <row r="13" spans="1:3" ht="15" customHeight="1" thickBot="1" x14ac:dyDescent="0.35">
      <c r="A13" s="5" t="s">
        <v>9</v>
      </c>
      <c r="B13" s="5" t="s">
        <v>54</v>
      </c>
      <c r="C13" s="5" t="s">
        <v>55</v>
      </c>
    </row>
    <row r="14" spans="1:3" ht="15" customHeight="1" thickBot="1" x14ac:dyDescent="0.35">
      <c r="A14" s="5" t="s">
        <v>9</v>
      </c>
      <c r="B14" s="5" t="s">
        <v>56</v>
      </c>
      <c r="C14" s="5" t="s">
        <v>57</v>
      </c>
    </row>
    <row r="15" spans="1:3" ht="15" customHeight="1" thickBot="1" x14ac:dyDescent="0.35">
      <c r="A15" s="5" t="s">
        <v>58</v>
      </c>
      <c r="B15" s="5" t="s">
        <v>59</v>
      </c>
      <c r="C15" s="5" t="s">
        <v>60</v>
      </c>
    </row>
    <row r="16" spans="1:3" ht="15" customHeight="1" thickBot="1" x14ac:dyDescent="0.35">
      <c r="A16" s="5" t="s">
        <v>58</v>
      </c>
      <c r="B16" s="5" t="s">
        <v>61</v>
      </c>
      <c r="C16" s="5" t="s">
        <v>60</v>
      </c>
    </row>
    <row r="17" spans="1:3" ht="15" customHeight="1" thickBot="1" x14ac:dyDescent="0.35">
      <c r="A17" s="5" t="s">
        <v>62</v>
      </c>
      <c r="B17" s="5" t="s">
        <v>63</v>
      </c>
      <c r="C17" s="5" t="s">
        <v>64</v>
      </c>
    </row>
    <row r="18" spans="1:3" ht="15" customHeight="1" thickBot="1" x14ac:dyDescent="0.35">
      <c r="A18" s="5" t="s">
        <v>62</v>
      </c>
      <c r="B18" s="5" t="s">
        <v>65</v>
      </c>
      <c r="C18" s="5" t="s">
        <v>66</v>
      </c>
    </row>
    <row r="19" spans="1:3" ht="15" customHeight="1" thickBot="1" x14ac:dyDescent="0.35">
      <c r="A19" s="5" t="s">
        <v>62</v>
      </c>
      <c r="B19" s="5" t="s">
        <v>67</v>
      </c>
      <c r="C19" s="5" t="s">
        <v>68</v>
      </c>
    </row>
    <row r="20" spans="1:3" ht="15" customHeight="1" thickBot="1" x14ac:dyDescent="0.35">
      <c r="A20" s="5" t="s">
        <v>62</v>
      </c>
      <c r="B20" s="5" t="s">
        <v>69</v>
      </c>
      <c r="C20" s="5" t="s">
        <v>70</v>
      </c>
    </row>
    <row r="21" spans="1:3" ht="15" customHeight="1" thickBot="1" x14ac:dyDescent="0.35">
      <c r="A21" s="5" t="s">
        <v>71</v>
      </c>
      <c r="B21" s="5" t="s">
        <v>72</v>
      </c>
      <c r="C21" s="5" t="s">
        <v>73</v>
      </c>
    </row>
    <row r="22" spans="1:3" x14ac:dyDescent="0.3">
      <c r="A22" s="6" t="s">
        <v>71</v>
      </c>
      <c r="B22" s="8" t="s">
        <v>74</v>
      </c>
      <c r="C22" s="6" t="s">
        <v>73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workbookViewId="0">
      <selection activeCell="N10" sqref="N10"/>
    </sheetView>
  </sheetViews>
  <sheetFormatPr baseColWidth="10" defaultColWidth="8.88671875" defaultRowHeight="14.4" x14ac:dyDescent="0.3"/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11" t="s">
        <v>6</v>
      </c>
      <c r="H1" s="12"/>
      <c r="I1" s="11" t="s">
        <v>7</v>
      </c>
    </row>
    <row r="2" spans="1:9" x14ac:dyDescent="0.3">
      <c r="A2" t="s">
        <v>8</v>
      </c>
      <c r="B2" t="s">
        <v>146</v>
      </c>
      <c r="C2" t="s">
        <v>9</v>
      </c>
      <c r="D2" t="s">
        <v>10</v>
      </c>
      <c r="E2">
        <v>2</v>
      </c>
      <c r="F2" t="s">
        <v>11</v>
      </c>
      <c r="H2" s="13"/>
      <c r="I2">
        <v>2</v>
      </c>
    </row>
    <row r="3" spans="1:9" x14ac:dyDescent="0.3">
      <c r="A3" t="s">
        <v>12</v>
      </c>
      <c r="B3" t="s">
        <v>146</v>
      </c>
      <c r="C3" t="s">
        <v>9</v>
      </c>
      <c r="D3" t="s">
        <v>10</v>
      </c>
      <c r="E3">
        <v>2</v>
      </c>
      <c r="F3" t="s">
        <v>11</v>
      </c>
      <c r="I3">
        <v>3</v>
      </c>
    </row>
    <row r="4" spans="1:9" x14ac:dyDescent="0.3">
      <c r="A4" t="s">
        <v>13</v>
      </c>
      <c r="B4" t="s">
        <v>147</v>
      </c>
      <c r="C4" t="s">
        <v>14</v>
      </c>
      <c r="D4" t="s">
        <v>15</v>
      </c>
      <c r="E4">
        <v>2</v>
      </c>
      <c r="F4" t="s">
        <v>11</v>
      </c>
      <c r="G4" t="s">
        <v>16</v>
      </c>
      <c r="I4">
        <v>4</v>
      </c>
    </row>
    <row r="5" spans="1:9" x14ac:dyDescent="0.3">
      <c r="A5" t="s">
        <v>17</v>
      </c>
      <c r="B5" t="s">
        <v>147</v>
      </c>
      <c r="C5" t="s">
        <v>14</v>
      </c>
      <c r="D5" t="s">
        <v>15</v>
      </c>
      <c r="E5">
        <v>2</v>
      </c>
      <c r="F5" t="s">
        <v>11</v>
      </c>
      <c r="G5" t="s">
        <v>16</v>
      </c>
      <c r="I5">
        <v>5</v>
      </c>
    </row>
    <row r="6" spans="1:9" x14ac:dyDescent="0.3">
      <c r="A6" t="s">
        <v>18</v>
      </c>
      <c r="B6" t="s">
        <v>147</v>
      </c>
      <c r="C6" t="s">
        <v>14</v>
      </c>
      <c r="D6" t="s">
        <v>15</v>
      </c>
      <c r="E6">
        <v>2</v>
      </c>
      <c r="F6" t="s">
        <v>11</v>
      </c>
      <c r="G6" t="s">
        <v>16</v>
      </c>
      <c r="I6">
        <v>6</v>
      </c>
    </row>
    <row r="7" spans="1:9" x14ac:dyDescent="0.3">
      <c r="A7" t="s">
        <v>19</v>
      </c>
      <c r="B7" t="s">
        <v>148</v>
      </c>
      <c r="C7" t="s">
        <v>14</v>
      </c>
      <c r="D7" t="s">
        <v>15</v>
      </c>
      <c r="I7">
        <v>7</v>
      </c>
    </row>
    <row r="8" spans="1:9" x14ac:dyDescent="0.3">
      <c r="A8" t="s">
        <v>20</v>
      </c>
      <c r="B8" t="s">
        <v>148</v>
      </c>
      <c r="C8" t="s">
        <v>14</v>
      </c>
      <c r="D8" t="s">
        <v>15</v>
      </c>
      <c r="I8">
        <v>8</v>
      </c>
    </row>
    <row r="9" spans="1:9" x14ac:dyDescent="0.3">
      <c r="A9" t="s">
        <v>20</v>
      </c>
      <c r="B9" t="s">
        <v>149</v>
      </c>
      <c r="C9" t="s">
        <v>9</v>
      </c>
      <c r="D9" t="s">
        <v>10</v>
      </c>
      <c r="I9">
        <v>9</v>
      </c>
    </row>
    <row r="10" spans="1:9" x14ac:dyDescent="0.3">
      <c r="A10" t="s">
        <v>20</v>
      </c>
      <c r="B10" t="s">
        <v>150</v>
      </c>
      <c r="C10" t="s">
        <v>21</v>
      </c>
      <c r="D10" t="s">
        <v>22</v>
      </c>
      <c r="F10" t="s">
        <v>11</v>
      </c>
      <c r="I10">
        <v>10</v>
      </c>
    </row>
    <row r="11" spans="1:9" x14ac:dyDescent="0.3">
      <c r="A11" t="s">
        <v>20</v>
      </c>
      <c r="B11" t="s">
        <v>151</v>
      </c>
      <c r="C11" t="s">
        <v>23</v>
      </c>
      <c r="D11" t="s">
        <v>24</v>
      </c>
      <c r="I11">
        <v>11</v>
      </c>
    </row>
    <row r="12" spans="1:9" x14ac:dyDescent="0.3">
      <c r="A12" t="s">
        <v>20</v>
      </c>
      <c r="B12" t="s">
        <v>151</v>
      </c>
      <c r="C12" t="s">
        <v>23</v>
      </c>
      <c r="D12" t="s">
        <v>25</v>
      </c>
      <c r="I12">
        <v>12</v>
      </c>
    </row>
    <row r="13" spans="1:9" x14ac:dyDescent="0.3">
      <c r="A13" t="s">
        <v>20</v>
      </c>
      <c r="B13" t="s">
        <v>153</v>
      </c>
      <c r="C13" t="s">
        <v>26</v>
      </c>
      <c r="D13" t="s">
        <v>27</v>
      </c>
      <c r="I13">
        <v>13</v>
      </c>
    </row>
    <row r="14" spans="1:9" x14ac:dyDescent="0.3">
      <c r="A14" t="s">
        <v>28</v>
      </c>
      <c r="B14" t="s">
        <v>152</v>
      </c>
      <c r="C14" t="s">
        <v>29</v>
      </c>
      <c r="D14" t="s">
        <v>30</v>
      </c>
      <c r="E14">
        <v>2</v>
      </c>
      <c r="F14" t="s">
        <v>11</v>
      </c>
      <c r="G14" t="s">
        <v>31</v>
      </c>
      <c r="I14">
        <v>14</v>
      </c>
    </row>
    <row r="15" spans="1:9" x14ac:dyDescent="0.3">
      <c r="A15" t="s">
        <v>32</v>
      </c>
      <c r="B15" t="s">
        <v>152</v>
      </c>
      <c r="C15" t="s">
        <v>29</v>
      </c>
      <c r="D15" t="s">
        <v>30</v>
      </c>
      <c r="E15" t="s">
        <v>33</v>
      </c>
      <c r="F15" t="s">
        <v>11</v>
      </c>
      <c r="G15" t="s">
        <v>34</v>
      </c>
      <c r="I15">
        <v>15</v>
      </c>
    </row>
    <row r="16" spans="1:9" x14ac:dyDescent="0.3">
      <c r="A16" t="s">
        <v>35</v>
      </c>
      <c r="B16" t="s">
        <v>152</v>
      </c>
      <c r="C16" t="s">
        <v>29</v>
      </c>
      <c r="D16" t="s">
        <v>30</v>
      </c>
      <c r="E16" t="s">
        <v>33</v>
      </c>
      <c r="F16" t="s">
        <v>11</v>
      </c>
      <c r="G16" t="s">
        <v>34</v>
      </c>
      <c r="I16">
        <v>16</v>
      </c>
    </row>
    <row r="17" spans="9:9" x14ac:dyDescent="0.3">
      <c r="I17">
        <v>17</v>
      </c>
    </row>
    <row r="18" spans="9:9" x14ac:dyDescent="0.3">
      <c r="I18">
        <v>18</v>
      </c>
    </row>
    <row r="19" spans="9:9" x14ac:dyDescent="0.3">
      <c r="I19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7"/>
  <sheetViews>
    <sheetView workbookViewId="0">
      <selection activeCell="A24" sqref="A24"/>
    </sheetView>
  </sheetViews>
  <sheetFormatPr baseColWidth="10" defaultRowHeight="14.4" x14ac:dyDescent="0.3"/>
  <cols>
    <col min="1" max="1" width="38.33203125" bestFit="1" customWidth="1"/>
    <col min="2" max="2" width="16.44140625" bestFit="1" customWidth="1"/>
    <col min="3" max="3" width="16.21875" bestFit="1" customWidth="1"/>
    <col min="4" max="4" width="9.88671875" bestFit="1" customWidth="1"/>
  </cols>
  <sheetData>
    <row r="1" spans="1:4" x14ac:dyDescent="0.3">
      <c r="A1" s="1" t="s">
        <v>75</v>
      </c>
      <c r="B1" s="1" t="s">
        <v>76</v>
      </c>
      <c r="C1" s="1" t="s">
        <v>77</v>
      </c>
      <c r="D1" s="1" t="s">
        <v>78</v>
      </c>
    </row>
    <row r="2" spans="1:4" x14ac:dyDescent="0.3">
      <c r="A2" t="s">
        <v>79</v>
      </c>
      <c r="B2">
        <f t="shared" ref="B2:B33" si="0">COUNTIF($A$2:$A$479, A2)</f>
        <v>1</v>
      </c>
      <c r="C2">
        <v>1</v>
      </c>
      <c r="D2">
        <v>5</v>
      </c>
    </row>
    <row r="3" spans="1:4" x14ac:dyDescent="0.3">
      <c r="A3" t="s">
        <v>80</v>
      </c>
      <c r="B3">
        <f t="shared" si="0"/>
        <v>1</v>
      </c>
      <c r="C3">
        <v>1</v>
      </c>
      <c r="D3">
        <v>5</v>
      </c>
    </row>
    <row r="4" spans="1:4" x14ac:dyDescent="0.3">
      <c r="A4" t="s">
        <v>81</v>
      </c>
      <c r="B4">
        <f t="shared" si="0"/>
        <v>1</v>
      </c>
      <c r="C4">
        <v>2</v>
      </c>
      <c r="D4">
        <v>5</v>
      </c>
    </row>
    <row r="5" spans="1:4" x14ac:dyDescent="0.3">
      <c r="A5" t="s">
        <v>82</v>
      </c>
      <c r="B5">
        <f t="shared" si="0"/>
        <v>1</v>
      </c>
      <c r="C5">
        <v>2</v>
      </c>
      <c r="D5">
        <v>5</v>
      </c>
    </row>
    <row r="6" spans="1:4" x14ac:dyDescent="0.3">
      <c r="A6" t="s">
        <v>83</v>
      </c>
      <c r="B6">
        <f t="shared" si="0"/>
        <v>1</v>
      </c>
      <c r="C6">
        <v>2</v>
      </c>
      <c r="D6">
        <v>5</v>
      </c>
    </row>
    <row r="7" spans="1:4" x14ac:dyDescent="0.3">
      <c r="A7" t="s">
        <v>84</v>
      </c>
      <c r="B7">
        <f t="shared" si="0"/>
        <v>1</v>
      </c>
      <c r="C7">
        <v>2</v>
      </c>
      <c r="D7">
        <v>5</v>
      </c>
    </row>
    <row r="8" spans="1:4" x14ac:dyDescent="0.3">
      <c r="A8" t="s">
        <v>85</v>
      </c>
      <c r="B8">
        <f t="shared" si="0"/>
        <v>1</v>
      </c>
      <c r="C8">
        <v>1</v>
      </c>
      <c r="D8">
        <v>5</v>
      </c>
    </row>
    <row r="9" spans="1:4" x14ac:dyDescent="0.3">
      <c r="A9" t="s">
        <v>86</v>
      </c>
      <c r="B9">
        <f t="shared" si="0"/>
        <v>1</v>
      </c>
      <c r="C9">
        <v>1</v>
      </c>
      <c r="D9">
        <v>5</v>
      </c>
    </row>
    <row r="10" spans="1:4" x14ac:dyDescent="0.3">
      <c r="A10" t="s">
        <v>87</v>
      </c>
      <c r="B10">
        <f t="shared" si="0"/>
        <v>1</v>
      </c>
      <c r="C10">
        <v>2</v>
      </c>
      <c r="D10">
        <v>5</v>
      </c>
    </row>
    <row r="11" spans="1:4" x14ac:dyDescent="0.3">
      <c r="A11" t="s">
        <v>13</v>
      </c>
      <c r="B11">
        <f t="shared" si="0"/>
        <v>1</v>
      </c>
      <c r="C11">
        <v>2</v>
      </c>
      <c r="D11">
        <v>5</v>
      </c>
    </row>
    <row r="12" spans="1:4" x14ac:dyDescent="0.3">
      <c r="A12" t="s">
        <v>88</v>
      </c>
      <c r="B12">
        <f t="shared" si="0"/>
        <v>1</v>
      </c>
      <c r="C12">
        <v>1</v>
      </c>
      <c r="D12">
        <v>5</v>
      </c>
    </row>
    <row r="13" spans="1:4" x14ac:dyDescent="0.3">
      <c r="A13" t="s">
        <v>28</v>
      </c>
      <c r="B13">
        <f t="shared" si="0"/>
        <v>1</v>
      </c>
      <c r="C13">
        <v>1</v>
      </c>
      <c r="D13">
        <v>5</v>
      </c>
    </row>
    <row r="14" spans="1:4" x14ac:dyDescent="0.3">
      <c r="A14" t="s">
        <v>19</v>
      </c>
      <c r="B14">
        <f t="shared" si="0"/>
        <v>1</v>
      </c>
      <c r="C14">
        <v>1</v>
      </c>
      <c r="D14">
        <v>5</v>
      </c>
    </row>
    <row r="15" spans="1:4" x14ac:dyDescent="0.3">
      <c r="A15" t="s">
        <v>89</v>
      </c>
      <c r="B15">
        <f t="shared" si="0"/>
        <v>1</v>
      </c>
      <c r="C15">
        <v>2</v>
      </c>
      <c r="D15">
        <v>5</v>
      </c>
    </row>
    <row r="16" spans="1:4" x14ac:dyDescent="0.3">
      <c r="A16" t="s">
        <v>90</v>
      </c>
      <c r="B16">
        <f t="shared" si="0"/>
        <v>1</v>
      </c>
      <c r="C16">
        <v>1</v>
      </c>
      <c r="D16">
        <v>5</v>
      </c>
    </row>
    <row r="17" spans="1:4" x14ac:dyDescent="0.3">
      <c r="A17" t="s">
        <v>32</v>
      </c>
      <c r="B17">
        <f t="shared" si="0"/>
        <v>1</v>
      </c>
      <c r="C17">
        <v>2</v>
      </c>
      <c r="D17">
        <v>5</v>
      </c>
    </row>
    <row r="18" spans="1:4" x14ac:dyDescent="0.3">
      <c r="A18" t="s">
        <v>8</v>
      </c>
      <c r="B18">
        <f t="shared" si="0"/>
        <v>1</v>
      </c>
      <c r="C18">
        <v>2</v>
      </c>
      <c r="D18">
        <v>5</v>
      </c>
    </row>
    <row r="19" spans="1:4" x14ac:dyDescent="0.3">
      <c r="A19" t="s">
        <v>12</v>
      </c>
      <c r="B19">
        <f t="shared" si="0"/>
        <v>1</v>
      </c>
      <c r="C19">
        <v>2</v>
      </c>
      <c r="D19">
        <v>5</v>
      </c>
    </row>
    <row r="20" spans="1:4" x14ac:dyDescent="0.3">
      <c r="A20" t="s">
        <v>91</v>
      </c>
      <c r="B20">
        <f t="shared" si="0"/>
        <v>1</v>
      </c>
      <c r="C20">
        <v>2</v>
      </c>
      <c r="D20">
        <v>5</v>
      </c>
    </row>
    <row r="21" spans="1:4" x14ac:dyDescent="0.3">
      <c r="A21" t="s">
        <v>17</v>
      </c>
      <c r="B21">
        <f t="shared" si="0"/>
        <v>1</v>
      </c>
      <c r="C21">
        <v>2</v>
      </c>
      <c r="D21">
        <v>5</v>
      </c>
    </row>
    <row r="22" spans="1:4" x14ac:dyDescent="0.3">
      <c r="A22" t="s">
        <v>92</v>
      </c>
      <c r="B22">
        <f t="shared" si="0"/>
        <v>1</v>
      </c>
      <c r="C22">
        <v>2</v>
      </c>
      <c r="D22">
        <v>5</v>
      </c>
    </row>
    <row r="23" spans="1:4" x14ac:dyDescent="0.3">
      <c r="A23" t="s">
        <v>93</v>
      </c>
      <c r="B23">
        <f t="shared" si="0"/>
        <v>1</v>
      </c>
      <c r="C23">
        <v>1</v>
      </c>
      <c r="D23">
        <v>5</v>
      </c>
    </row>
    <row r="24" spans="1:4" x14ac:dyDescent="0.3">
      <c r="A24" t="s">
        <v>94</v>
      </c>
      <c r="B24">
        <f t="shared" si="0"/>
        <v>1</v>
      </c>
      <c r="C24">
        <v>1</v>
      </c>
      <c r="D24">
        <v>5</v>
      </c>
    </row>
    <row r="25" spans="1:4" x14ac:dyDescent="0.3">
      <c r="A25" t="s">
        <v>95</v>
      </c>
      <c r="B25">
        <f t="shared" si="0"/>
        <v>1</v>
      </c>
      <c r="C25">
        <v>1</v>
      </c>
      <c r="D25">
        <v>5</v>
      </c>
    </row>
    <row r="26" spans="1:4" x14ac:dyDescent="0.3">
      <c r="A26" t="s">
        <v>96</v>
      </c>
      <c r="B26">
        <f t="shared" si="0"/>
        <v>1</v>
      </c>
      <c r="C26">
        <v>1</v>
      </c>
      <c r="D26">
        <v>5</v>
      </c>
    </row>
    <row r="27" spans="1:4" x14ac:dyDescent="0.3">
      <c r="A27" t="s">
        <v>97</v>
      </c>
      <c r="B27">
        <f t="shared" si="0"/>
        <v>1</v>
      </c>
      <c r="C27">
        <v>1</v>
      </c>
      <c r="D27">
        <v>5</v>
      </c>
    </row>
    <row r="28" spans="1:4" x14ac:dyDescent="0.3">
      <c r="A28" t="s">
        <v>98</v>
      </c>
      <c r="B28">
        <f t="shared" si="0"/>
        <v>1</v>
      </c>
      <c r="C28">
        <v>1</v>
      </c>
      <c r="D28">
        <v>5</v>
      </c>
    </row>
    <row r="29" spans="1:4" x14ac:dyDescent="0.3">
      <c r="A29" t="s">
        <v>99</v>
      </c>
      <c r="B29">
        <f t="shared" si="0"/>
        <v>1</v>
      </c>
      <c r="C29">
        <v>1</v>
      </c>
      <c r="D29">
        <v>5</v>
      </c>
    </row>
    <row r="30" spans="1:4" x14ac:dyDescent="0.3">
      <c r="A30" t="s">
        <v>100</v>
      </c>
      <c r="B30">
        <f t="shared" si="0"/>
        <v>1</v>
      </c>
      <c r="C30">
        <v>1</v>
      </c>
      <c r="D30">
        <v>5</v>
      </c>
    </row>
    <row r="31" spans="1:4" x14ac:dyDescent="0.3">
      <c r="A31" t="s">
        <v>18</v>
      </c>
      <c r="B31">
        <f t="shared" si="0"/>
        <v>1</v>
      </c>
      <c r="C31">
        <v>2</v>
      </c>
      <c r="D31">
        <v>5</v>
      </c>
    </row>
    <row r="32" spans="1:4" x14ac:dyDescent="0.3">
      <c r="A32" t="s">
        <v>101</v>
      </c>
      <c r="B32">
        <f t="shared" si="0"/>
        <v>1</v>
      </c>
      <c r="C32">
        <v>2</v>
      </c>
      <c r="D32" s="4">
        <v>7</v>
      </c>
    </row>
    <row r="33" spans="1:4" x14ac:dyDescent="0.3">
      <c r="A33" t="s">
        <v>20</v>
      </c>
      <c r="B33">
        <f t="shared" si="0"/>
        <v>1</v>
      </c>
      <c r="C33">
        <v>1</v>
      </c>
      <c r="D33">
        <v>5</v>
      </c>
    </row>
    <row r="34" spans="1:4" x14ac:dyDescent="0.3">
      <c r="A34" t="s">
        <v>102</v>
      </c>
      <c r="B34">
        <f t="shared" ref="B34:B65" si="1">COUNTIF($A$2:$A$479, A34)</f>
        <v>1</v>
      </c>
      <c r="C34">
        <v>1</v>
      </c>
      <c r="D34">
        <v>5</v>
      </c>
    </row>
    <row r="35" spans="1:4" x14ac:dyDescent="0.3">
      <c r="A35" t="s">
        <v>103</v>
      </c>
      <c r="B35">
        <f t="shared" si="1"/>
        <v>1</v>
      </c>
      <c r="C35">
        <v>1</v>
      </c>
      <c r="D35">
        <v>5</v>
      </c>
    </row>
    <row r="36" spans="1:4" x14ac:dyDescent="0.3">
      <c r="A36" t="s">
        <v>104</v>
      </c>
      <c r="B36">
        <f t="shared" si="1"/>
        <v>1</v>
      </c>
      <c r="C36">
        <v>2</v>
      </c>
      <c r="D36">
        <v>5</v>
      </c>
    </row>
    <row r="37" spans="1:4" x14ac:dyDescent="0.3">
      <c r="A37" t="s">
        <v>105</v>
      </c>
      <c r="B37">
        <f t="shared" si="1"/>
        <v>1</v>
      </c>
      <c r="C37">
        <v>1</v>
      </c>
      <c r="D37" s="4">
        <v>7</v>
      </c>
    </row>
    <row r="38" spans="1:4" x14ac:dyDescent="0.3">
      <c r="A38" t="s">
        <v>106</v>
      </c>
      <c r="B38">
        <f t="shared" si="1"/>
        <v>1</v>
      </c>
      <c r="C38">
        <v>1</v>
      </c>
      <c r="D38">
        <v>5</v>
      </c>
    </row>
    <row r="39" spans="1:4" x14ac:dyDescent="0.3">
      <c r="A39" t="s">
        <v>107</v>
      </c>
      <c r="B39">
        <f t="shared" si="1"/>
        <v>1</v>
      </c>
      <c r="C39">
        <v>1</v>
      </c>
      <c r="D39">
        <v>5</v>
      </c>
    </row>
    <row r="40" spans="1:4" x14ac:dyDescent="0.3">
      <c r="A40" t="s">
        <v>108</v>
      </c>
      <c r="B40">
        <f t="shared" si="1"/>
        <v>1</v>
      </c>
      <c r="C40">
        <v>2</v>
      </c>
      <c r="D40">
        <v>5</v>
      </c>
    </row>
    <row r="41" spans="1:4" x14ac:dyDescent="0.3">
      <c r="A41" t="s">
        <v>109</v>
      </c>
      <c r="B41">
        <f t="shared" si="1"/>
        <v>1</v>
      </c>
      <c r="C41">
        <v>1</v>
      </c>
      <c r="D41">
        <v>5</v>
      </c>
    </row>
    <row r="42" spans="1:4" x14ac:dyDescent="0.3">
      <c r="A42" t="s">
        <v>110</v>
      </c>
      <c r="B42">
        <f t="shared" si="1"/>
        <v>1</v>
      </c>
      <c r="C42">
        <v>1</v>
      </c>
      <c r="D42">
        <v>5</v>
      </c>
    </row>
    <row r="43" spans="1:4" x14ac:dyDescent="0.3">
      <c r="A43" t="s">
        <v>111</v>
      </c>
      <c r="B43">
        <f t="shared" si="1"/>
        <v>1</v>
      </c>
      <c r="C43">
        <v>1</v>
      </c>
      <c r="D43" s="4">
        <v>7</v>
      </c>
    </row>
    <row r="44" spans="1:4" x14ac:dyDescent="0.3">
      <c r="A44" t="s">
        <v>112</v>
      </c>
      <c r="B44">
        <f t="shared" si="1"/>
        <v>1</v>
      </c>
      <c r="C44" s="2">
        <v>1</v>
      </c>
      <c r="D44">
        <v>5</v>
      </c>
    </row>
    <row r="45" spans="1:4" x14ac:dyDescent="0.3">
      <c r="A45" t="s">
        <v>113</v>
      </c>
      <c r="B45">
        <f t="shared" si="1"/>
        <v>1</v>
      </c>
      <c r="C45" s="2">
        <v>1</v>
      </c>
      <c r="D45">
        <v>5</v>
      </c>
    </row>
    <row r="46" spans="1:4" x14ac:dyDescent="0.3">
      <c r="A46" t="s">
        <v>114</v>
      </c>
      <c r="B46">
        <f t="shared" si="1"/>
        <v>1</v>
      </c>
      <c r="C46" s="2">
        <v>2</v>
      </c>
      <c r="D46">
        <v>5</v>
      </c>
    </row>
    <row r="47" spans="1:4" x14ac:dyDescent="0.3">
      <c r="A47" t="s">
        <v>115</v>
      </c>
      <c r="B47">
        <f t="shared" si="1"/>
        <v>1</v>
      </c>
      <c r="C47">
        <v>2</v>
      </c>
      <c r="D47">
        <v>5</v>
      </c>
    </row>
    <row r="48" spans="1:4" x14ac:dyDescent="0.3">
      <c r="A48" t="s">
        <v>116</v>
      </c>
      <c r="B48">
        <f t="shared" si="1"/>
        <v>1</v>
      </c>
      <c r="C48">
        <v>1</v>
      </c>
      <c r="D48">
        <v>5</v>
      </c>
    </row>
    <row r="49" spans="1:4" x14ac:dyDescent="0.3">
      <c r="A49" t="s">
        <v>117</v>
      </c>
      <c r="B49">
        <f t="shared" si="1"/>
        <v>1</v>
      </c>
      <c r="C49">
        <v>1</v>
      </c>
      <c r="D49">
        <v>5</v>
      </c>
    </row>
    <row r="50" spans="1:4" x14ac:dyDescent="0.3">
      <c r="A50" t="s">
        <v>118</v>
      </c>
      <c r="B50">
        <f t="shared" si="1"/>
        <v>1</v>
      </c>
      <c r="C50">
        <v>1</v>
      </c>
      <c r="D50">
        <v>5</v>
      </c>
    </row>
    <row r="51" spans="1:4" x14ac:dyDescent="0.3">
      <c r="A51" t="s">
        <v>119</v>
      </c>
      <c r="B51">
        <f t="shared" si="1"/>
        <v>1</v>
      </c>
      <c r="C51">
        <v>1</v>
      </c>
      <c r="D51">
        <v>5</v>
      </c>
    </row>
    <row r="52" spans="1:4" x14ac:dyDescent="0.3">
      <c r="A52" t="s">
        <v>120</v>
      </c>
      <c r="B52">
        <f t="shared" si="1"/>
        <v>1</v>
      </c>
      <c r="C52">
        <v>1</v>
      </c>
      <c r="D52">
        <v>5</v>
      </c>
    </row>
    <row r="53" spans="1:4" x14ac:dyDescent="0.3">
      <c r="A53" t="s">
        <v>121</v>
      </c>
      <c r="B53">
        <f t="shared" si="1"/>
        <v>1</v>
      </c>
      <c r="C53">
        <v>1</v>
      </c>
      <c r="D53">
        <v>5</v>
      </c>
    </row>
    <row r="54" spans="1:4" x14ac:dyDescent="0.3">
      <c r="A54" t="s">
        <v>122</v>
      </c>
      <c r="B54">
        <f t="shared" si="1"/>
        <v>1</v>
      </c>
      <c r="C54">
        <v>2</v>
      </c>
      <c r="D54">
        <v>5</v>
      </c>
    </row>
    <row r="55" spans="1:4" x14ac:dyDescent="0.3">
      <c r="A55" t="s">
        <v>123</v>
      </c>
      <c r="B55">
        <f t="shared" si="1"/>
        <v>1</v>
      </c>
      <c r="C55">
        <v>2</v>
      </c>
      <c r="D55">
        <v>5</v>
      </c>
    </row>
    <row r="56" spans="1:4" x14ac:dyDescent="0.3">
      <c r="A56" t="s">
        <v>124</v>
      </c>
      <c r="B56">
        <f t="shared" si="1"/>
        <v>1</v>
      </c>
      <c r="C56">
        <v>2</v>
      </c>
      <c r="D56">
        <v>5</v>
      </c>
    </row>
    <row r="57" spans="1:4" x14ac:dyDescent="0.3">
      <c r="A57" t="s">
        <v>125</v>
      </c>
      <c r="B57">
        <f t="shared" si="1"/>
        <v>1</v>
      </c>
      <c r="C57">
        <v>2</v>
      </c>
      <c r="D57">
        <v>5</v>
      </c>
    </row>
    <row r="58" spans="1:4" x14ac:dyDescent="0.3">
      <c r="A58" t="s">
        <v>126</v>
      </c>
      <c r="B58">
        <f t="shared" si="1"/>
        <v>1</v>
      </c>
      <c r="C58">
        <v>2</v>
      </c>
      <c r="D58">
        <v>5</v>
      </c>
    </row>
    <row r="59" spans="1:4" x14ac:dyDescent="0.3">
      <c r="A59" t="s">
        <v>127</v>
      </c>
      <c r="B59">
        <f t="shared" si="1"/>
        <v>1</v>
      </c>
      <c r="C59">
        <v>1</v>
      </c>
      <c r="D59" s="4">
        <v>7</v>
      </c>
    </row>
    <row r="60" spans="1:4" x14ac:dyDescent="0.3">
      <c r="A60" t="s">
        <v>128</v>
      </c>
      <c r="B60">
        <f t="shared" si="1"/>
        <v>1</v>
      </c>
      <c r="C60">
        <v>1</v>
      </c>
      <c r="D60">
        <v>7</v>
      </c>
    </row>
    <row r="61" spans="1:4" x14ac:dyDescent="0.3">
      <c r="A61" t="s">
        <v>129</v>
      </c>
      <c r="B61">
        <f t="shared" si="1"/>
        <v>1</v>
      </c>
      <c r="C61">
        <v>1</v>
      </c>
      <c r="D61">
        <v>7</v>
      </c>
    </row>
    <row r="62" spans="1:4" x14ac:dyDescent="0.3">
      <c r="A62" t="s">
        <v>130</v>
      </c>
      <c r="B62">
        <f t="shared" si="1"/>
        <v>1</v>
      </c>
      <c r="C62">
        <v>1</v>
      </c>
      <c r="D62">
        <v>5</v>
      </c>
    </row>
    <row r="63" spans="1:4" x14ac:dyDescent="0.3">
      <c r="A63" t="s">
        <v>131</v>
      </c>
      <c r="B63">
        <f t="shared" si="1"/>
        <v>1</v>
      </c>
      <c r="C63">
        <v>1</v>
      </c>
      <c r="D63">
        <v>5</v>
      </c>
    </row>
    <row r="64" spans="1:4" x14ac:dyDescent="0.3">
      <c r="A64" t="s">
        <v>132</v>
      </c>
      <c r="B64">
        <f t="shared" si="1"/>
        <v>1</v>
      </c>
      <c r="C64">
        <v>2</v>
      </c>
      <c r="D64">
        <v>5</v>
      </c>
    </row>
    <row r="65" spans="1:4" x14ac:dyDescent="0.3">
      <c r="A65" t="s">
        <v>133</v>
      </c>
      <c r="B65">
        <f t="shared" si="1"/>
        <v>1</v>
      </c>
      <c r="C65">
        <v>2</v>
      </c>
      <c r="D65">
        <v>5</v>
      </c>
    </row>
    <row r="66" spans="1:4" x14ac:dyDescent="0.3">
      <c r="A66" t="s">
        <v>134</v>
      </c>
      <c r="B66">
        <f t="shared" ref="B66:B77" si="2">COUNTIF($A$2:$A$479, A66)</f>
        <v>1</v>
      </c>
      <c r="C66">
        <v>2</v>
      </c>
      <c r="D66">
        <v>5</v>
      </c>
    </row>
    <row r="67" spans="1:4" x14ac:dyDescent="0.3">
      <c r="A67" t="s">
        <v>135</v>
      </c>
      <c r="B67">
        <f t="shared" si="2"/>
        <v>1</v>
      </c>
      <c r="C67">
        <v>1</v>
      </c>
      <c r="D67">
        <v>5</v>
      </c>
    </row>
    <row r="68" spans="1:4" x14ac:dyDescent="0.3">
      <c r="A68" t="s">
        <v>136</v>
      </c>
      <c r="B68">
        <f t="shared" si="2"/>
        <v>1</v>
      </c>
      <c r="C68">
        <v>1</v>
      </c>
      <c r="D68">
        <v>5</v>
      </c>
    </row>
    <row r="69" spans="1:4" x14ac:dyDescent="0.3">
      <c r="A69" t="s">
        <v>137</v>
      </c>
      <c r="B69">
        <f t="shared" si="2"/>
        <v>1</v>
      </c>
      <c r="C69" s="3">
        <v>1</v>
      </c>
      <c r="D69">
        <v>5</v>
      </c>
    </row>
    <row r="70" spans="1:4" x14ac:dyDescent="0.3">
      <c r="A70" t="s">
        <v>138</v>
      </c>
      <c r="B70">
        <f t="shared" si="2"/>
        <v>1</v>
      </c>
      <c r="C70">
        <v>1</v>
      </c>
      <c r="D70">
        <v>5</v>
      </c>
    </row>
    <row r="71" spans="1:4" x14ac:dyDescent="0.3">
      <c r="A71" t="s">
        <v>139</v>
      </c>
      <c r="B71">
        <f t="shared" si="2"/>
        <v>1</v>
      </c>
      <c r="C71">
        <v>1</v>
      </c>
      <c r="D71">
        <v>5</v>
      </c>
    </row>
    <row r="72" spans="1:4" x14ac:dyDescent="0.3">
      <c r="A72" t="s">
        <v>140</v>
      </c>
      <c r="B72">
        <f t="shared" si="2"/>
        <v>1</v>
      </c>
      <c r="C72">
        <v>2</v>
      </c>
      <c r="D72">
        <v>5</v>
      </c>
    </row>
    <row r="73" spans="1:4" x14ac:dyDescent="0.3">
      <c r="A73" t="s">
        <v>141</v>
      </c>
      <c r="B73">
        <f t="shared" si="2"/>
        <v>1</v>
      </c>
      <c r="C73">
        <v>1</v>
      </c>
      <c r="D73">
        <v>5</v>
      </c>
    </row>
    <row r="74" spans="1:4" x14ac:dyDescent="0.3">
      <c r="A74" t="s">
        <v>142</v>
      </c>
      <c r="B74">
        <f t="shared" si="2"/>
        <v>1</v>
      </c>
      <c r="C74">
        <v>1</v>
      </c>
      <c r="D74">
        <v>5</v>
      </c>
    </row>
    <row r="75" spans="1:4" x14ac:dyDescent="0.3">
      <c r="A75" t="s">
        <v>143</v>
      </c>
      <c r="B75">
        <f t="shared" si="2"/>
        <v>1</v>
      </c>
      <c r="C75">
        <v>2</v>
      </c>
      <c r="D75">
        <v>5</v>
      </c>
    </row>
    <row r="76" spans="1:4" x14ac:dyDescent="0.3">
      <c r="A76" t="s">
        <v>144</v>
      </c>
      <c r="B76">
        <f t="shared" si="2"/>
        <v>1</v>
      </c>
      <c r="C76">
        <v>2</v>
      </c>
      <c r="D76">
        <v>5</v>
      </c>
    </row>
    <row r="77" spans="1:4" x14ac:dyDescent="0.3">
      <c r="A77" t="s">
        <v>145</v>
      </c>
      <c r="B77">
        <f t="shared" si="2"/>
        <v>1</v>
      </c>
      <c r="C77">
        <v>1</v>
      </c>
      <c r="D77">
        <v>5</v>
      </c>
    </row>
  </sheetData>
  <conditionalFormatting sqref="B2:B77">
    <cfRule type="cellIs" dxfId="1" priority="1" operator="equal">
      <formula>4</formula>
    </cfRule>
    <cfRule type="cellIs" dxfId="0" priority="2" operator="greaterThanOrEqual">
      <formula>5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tabSelected="1" workbookViewId="0">
      <selection activeCell="B3" sqref="B3"/>
    </sheetView>
  </sheetViews>
  <sheetFormatPr baseColWidth="10" defaultColWidth="8.88671875" defaultRowHeight="14.4" x14ac:dyDescent="0.3"/>
  <sheetData>
    <row r="1" spans="1:7" ht="15" thickBo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pans="1:7" ht="28.2" thickBot="1" x14ac:dyDescent="0.35">
      <c r="A2" t="s">
        <v>28</v>
      </c>
      <c r="B2" t="s">
        <v>154</v>
      </c>
      <c r="C2" s="5" t="s">
        <v>14</v>
      </c>
      <c r="D2" s="5" t="s">
        <v>48</v>
      </c>
      <c r="E2" t="s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Coordenadas</vt:lpstr>
      <vt:lpstr>2025-2026</vt:lpstr>
      <vt:lpstr>Asignaturas</vt:lpstr>
      <vt:lpstr>2024-2025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Arias Antúnez</dc:creator>
  <cp:lastModifiedBy>MARÍA PICAZO SÁNCHEZ</cp:lastModifiedBy>
  <dcterms:created xsi:type="dcterms:W3CDTF">2015-06-05T18:17:20Z</dcterms:created>
  <dcterms:modified xsi:type="dcterms:W3CDTF">2026-03-04T11:23:15Z</dcterms:modified>
</cp:coreProperties>
</file>